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.bobojanov/Library/CloudStorage/GoogleDrive-sh.bobojanov@newuu.uz/My Drive/PyPSA Project/PyPSA/data/new/"/>
    </mc:Choice>
  </mc:AlternateContent>
  <xr:revisionPtr revIDLastSave="0" documentId="8_{CE1D4093-DD8F-8942-A2E6-B301FF2B5AC6}" xr6:coauthVersionLast="47" xr6:coauthVersionMax="47" xr10:uidLastSave="{00000000-0000-0000-0000-000000000000}"/>
  <bookViews>
    <workbookView xWindow="0" yWindow="500" windowWidth="44800" windowHeight="23000" activeTab="5" xr2:uid="{00000000-000D-0000-FFFF-FFFF00000000}"/>
  </bookViews>
  <sheets>
    <sheet name="Instructions" sheetId="1" r:id="rId1"/>
    <sheet name="Solar_CF" sheetId="2" r:id="rId2"/>
    <sheet name="Wind_CF" sheetId="3" r:id="rId3"/>
    <sheet name="Hydro_Availability" sheetId="4" r:id="rId4"/>
    <sheet name="Import_Prices" sheetId="5" r:id="rId5"/>
    <sheet name="CO2_Emiss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6" l="1"/>
  <c r="D56" i="6"/>
  <c r="E55" i="6"/>
  <c r="D55" i="6"/>
  <c r="E54" i="6"/>
  <c r="D54" i="6"/>
  <c r="E53" i="6"/>
  <c r="D53" i="6"/>
  <c r="E52" i="6"/>
  <c r="E42" i="6"/>
  <c r="F42" i="6" s="1"/>
  <c r="D42" i="6"/>
  <c r="D41" i="6"/>
  <c r="E41" i="6" s="1"/>
  <c r="F41" i="6" s="1"/>
  <c r="D40" i="6"/>
  <c r="E40" i="6" s="1"/>
  <c r="F40" i="6" s="1"/>
  <c r="D39" i="6"/>
  <c r="E39" i="6" s="1"/>
  <c r="F39" i="6" s="1"/>
  <c r="D38" i="6"/>
  <c r="E38" i="6" s="1"/>
  <c r="F38" i="6" s="1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B17" i="4"/>
  <c r="B17" i="3"/>
  <c r="B17" i="2"/>
</calcChain>
</file>

<file path=xl/sharedStrings.xml><?xml version="1.0" encoding="utf-8"?>
<sst xmlns="http://schemas.openxmlformats.org/spreadsheetml/2006/main" count="321" uniqueCount="231">
  <si>
    <t>PyPSA INPUT DATA - USAGE GUIDE</t>
  </si>
  <si>
    <t>OVERVIEW</t>
  </si>
  <si>
    <t>This workbook contains input data for PyPSA modeling of Uzbekistan electricity system.</t>
  </si>
  <si>
    <t>All values are editable (blue text) and formulas will auto-calculate (green text).</t>
  </si>
  <si>
    <t>SHEET DESCRIPTIONS</t>
  </si>
  <si>
    <t>Sheet Name</t>
  </si>
  <si>
    <t>Purpose</t>
  </si>
  <si>
    <t>How to Use</t>
  </si>
  <si>
    <t>Solar_CF</t>
  </si>
  <si>
    <t>Monthly solar capacity factors</t>
  </si>
  <si>
    <t>Use values in PyPSA generator.p_max_pu for solar plants</t>
  </si>
  <si>
    <t>Wind_CF</t>
  </si>
  <si>
    <t>Monthly wind capacity factors</t>
  </si>
  <si>
    <t>Use values in PyPSA generator.p_max_pu for wind plants</t>
  </si>
  <si>
    <t>Hydro_Availability</t>
  </si>
  <si>
    <t>Monthly hydro availability</t>
  </si>
  <si>
    <t>Use values in PyPSA generator.p_max_pu for hydro plants</t>
  </si>
  <si>
    <t>Import_Prices</t>
  </si>
  <si>
    <t>Electricity import costs &amp; limits</t>
  </si>
  <si>
    <t>Use for international generator marginal costs + limits</t>
  </si>
  <si>
    <t>PYPSA IMPLEMENTATION EXAMPLE</t>
  </si>
  <si>
    <t>import pandas as pd</t>
  </si>
  <si>
    <t>import pypsa</t>
  </si>
  <si>
    <t># Load capacity factors</t>
  </si>
  <si>
    <t>cf_data = pd.read_excel('pypsa_input_data.xlsx', sheet_name='Solar_CF')</t>
  </si>
  <si>
    <t># Apply to solar generators</t>
  </si>
  <si>
    <t>network.generators_t.p_max_pu['solar_plants'] = cf_data['Capacity Factor'].values</t>
  </si>
  <si>
    <t># Load import prices</t>
  </si>
  <si>
    <t>import_prices = pd.read_excel('pypsa_input_data.xlsx', sheet_name='Import_Prices')</t>
  </si>
  <si>
    <t>IMPORTANT NOTES</t>
  </si>
  <si>
    <t>1. Blue text = User inputs (you can change these)</t>
  </si>
  <si>
    <t>2. Green text = Formulas (auto-calculated, do not hardcode)</t>
  </si>
  <si>
    <t>3. Black text = Labels and descriptions</t>
  </si>
  <si>
    <t>4. All capacity factors are monthly averages (for hourly, use Renewables.ninja)</t>
  </si>
  <si>
    <t>5. Import capacity is LIMITED by transmission lines (see pypsa_transmission_network.csv)</t>
  </si>
  <si>
    <t>6. Hydro peaks in summer (opposite of demand!)</t>
  </si>
  <si>
    <t>7. Tajikistan/Kyrgyzstan cheap in summer, expensive/limited in winter</t>
  </si>
  <si>
    <t>SOLAR CAPACITY FACTORS - UZBEKISTAN</t>
  </si>
  <si>
    <t>Monthly capacity factors based on typical solar irradiance patterns</t>
  </si>
  <si>
    <t>Month</t>
  </si>
  <si>
    <t>Capacity Factor</t>
  </si>
  <si>
    <t>Notes</t>
  </si>
  <si>
    <t>January</t>
  </si>
  <si>
    <t>Winter low</t>
  </si>
  <si>
    <t>February</t>
  </si>
  <si>
    <t>Increasing</t>
  </si>
  <si>
    <t>March</t>
  </si>
  <si>
    <t>Spring transition</t>
  </si>
  <si>
    <t>April</t>
  </si>
  <si>
    <t>Good output</t>
  </si>
  <si>
    <t>May</t>
  </si>
  <si>
    <t>Peak season</t>
  </si>
  <si>
    <t>June</t>
  </si>
  <si>
    <t>Summer peak</t>
  </si>
  <si>
    <t>July</t>
  </si>
  <si>
    <t>August</t>
  </si>
  <si>
    <t>September</t>
  </si>
  <si>
    <t>Fall transition</t>
  </si>
  <si>
    <t>October</t>
  </si>
  <si>
    <t>Decreasing</t>
  </si>
  <si>
    <t>November</t>
  </si>
  <si>
    <t>Winter onset</t>
  </si>
  <si>
    <t>December</t>
  </si>
  <si>
    <t>Annual Average</t>
  </si>
  <si>
    <t>Excellent resource</t>
  </si>
  <si>
    <t>WIND CAPACITY FACTORS - UZBEKISTAN</t>
  </si>
  <si>
    <t>Monthly capacity factors based on typical wind speed patterns</t>
  </si>
  <si>
    <t>Winter peak</t>
  </si>
  <si>
    <t>Moderate</t>
  </si>
  <si>
    <t>Summer low</t>
  </si>
  <si>
    <t>Moderate resource</t>
  </si>
  <si>
    <t>HYDRO AVAILABILITY - CENTRAL ASIA PATTERN</t>
  </si>
  <si>
    <t>Seasonal patterns driven by snowmelt (April-June peak)</t>
  </si>
  <si>
    <t>Water Flow</t>
  </si>
  <si>
    <t>Low</t>
  </si>
  <si>
    <t>Winter minimum, ice</t>
  </si>
  <si>
    <t>Winter minimum</t>
  </si>
  <si>
    <t>Rising</t>
  </si>
  <si>
    <t>Snow begins melting</t>
  </si>
  <si>
    <t>High</t>
  </si>
  <si>
    <t>PEAK SNOWMELT</t>
  </si>
  <si>
    <t>Very High</t>
  </si>
  <si>
    <t>Late snowmelt</t>
  </si>
  <si>
    <t>Declining</t>
  </si>
  <si>
    <t>Post-melt decline</t>
  </si>
  <si>
    <t>Medium</t>
  </si>
  <si>
    <t>Irrigation demand high</t>
  </si>
  <si>
    <t>Low-Med</t>
  </si>
  <si>
    <t>Autumn low</t>
  </si>
  <si>
    <t>Pre-winter low</t>
  </si>
  <si>
    <t>Seasonal, snowmelt-driven</t>
  </si>
  <si>
    <t>CRITICAL:</t>
  </si>
  <si>
    <t>Hydro peaks in summer (Apr-Jun) when demand is LOW</t>
  </si>
  <si>
    <t>Winter demand is HIGH but hydro availability is LOW (15%)</t>
  </si>
  <si>
    <t>ELECTRICITY IMPORT PRICES &amp; AVAILABILITY</t>
  </si>
  <si>
    <t>Estimated prices and seasonal availability from neighboring countries</t>
  </si>
  <si>
    <t>BASE IMPORT PRICES ($/MWh)</t>
  </si>
  <si>
    <t>Country</t>
  </si>
  <si>
    <t>Min Price</t>
  </si>
  <si>
    <t>Max Price</t>
  </si>
  <si>
    <t>Typical Price</t>
  </si>
  <si>
    <t>Max Capacity (MW)</t>
  </si>
  <si>
    <t>Tajikistan</t>
  </si>
  <si>
    <t>Hydro surplus (summer cheap)</t>
  </si>
  <si>
    <t>Kyrgyzstan</t>
  </si>
  <si>
    <t>Kazakhstan</t>
  </si>
  <si>
    <t>Gas/coal, stable year-round</t>
  </si>
  <si>
    <t>Turkmenistan</t>
  </si>
  <si>
    <t>Gas-rich, stable</t>
  </si>
  <si>
    <t>SEASONAL AVAILABILITY MULTIPLIERS</t>
  </si>
  <si>
    <t>Season</t>
  </si>
  <si>
    <t>Winter (Nov-Mar)</t>
  </si>
  <si>
    <t>Hydro countries need power</t>
  </si>
  <si>
    <t>Spring (Apr-May)</t>
  </si>
  <si>
    <t>Snowmelt begins</t>
  </si>
  <si>
    <t>Summer (Jun-Aug)</t>
  </si>
  <si>
    <t>Hydro surplus PEAK</t>
  </si>
  <si>
    <t>Fall (Sep-Oct)</t>
  </si>
  <si>
    <t>Declining availability</t>
  </si>
  <si>
    <t>EFFECTIVE IMPORT CAPACITY BY SEASON (MW)</t>
  </si>
  <si>
    <t>Total Available</t>
  </si>
  <si>
    <t>Winter</t>
  </si>
  <si>
    <t>Spring</t>
  </si>
  <si>
    <t>Summer</t>
  </si>
  <si>
    <t>Fall</t>
  </si>
  <si>
    <t>KEY ASSUMPTIONS:</t>
  </si>
  <si>
    <t>1. Imports limited by transmission line capacity (from pypsa_transmission_network.csv)</t>
  </si>
  <si>
    <t>2. Tajikistan &amp; Kyrgyzstan: Hydro-dependent, surplus in summer (cheap), deficit in winter (expensive)</t>
  </si>
  <si>
    <t>3. Kazakhstan &amp; Turkmenistan: Thermal-based, stable year-round availability</t>
  </si>
  <si>
    <t>4. Prices may increase 50-100% in winter when demand is high across region</t>
  </si>
  <si>
    <t>CO2 EMISSIONS &amp; CARBON PRICING</t>
  </si>
  <si>
    <t>Emission factors and carbon tax scenarios for PyPSA modeling</t>
  </si>
  <si>
    <t>EMISSION FACTORS BY FUEL TYPE</t>
  </si>
  <si>
    <t>Fuel Type</t>
  </si>
  <si>
    <t>Emission Factor</t>
  </si>
  <si>
    <t>Unit</t>
  </si>
  <si>
    <t>Basis</t>
  </si>
  <si>
    <t>Natural Gas</t>
  </si>
  <si>
    <t>tCO2/MWh</t>
  </si>
  <si>
    <t>Average efficiency 40%</t>
  </si>
  <si>
    <t>Varies by plant efficiency (0.35-0.50)</t>
  </si>
  <si>
    <t xml:space="preserve">  - Old gas plants (&lt;1990)</t>
  </si>
  <si>
    <t>Efficiency 33%</t>
  </si>
  <si>
    <t>High emissions due to low efficiency</t>
  </si>
  <si>
    <t xml:space="preserve">  - Mid gas plants (1990-2010)</t>
  </si>
  <si>
    <t>Efficiency 40%</t>
  </si>
  <si>
    <t>Moderate emissions</t>
  </si>
  <si>
    <t xml:space="preserve">  - New gas plants (&gt;2010)</t>
  </si>
  <si>
    <t>Efficiency 55%</t>
  </si>
  <si>
    <t>CCGT, lowest gas emissions</t>
  </si>
  <si>
    <t>Coal</t>
  </si>
  <si>
    <t>Average efficiency 35%</t>
  </si>
  <si>
    <t>High carbon intensity fuel</t>
  </si>
  <si>
    <t xml:space="preserve">  - Old coal plants</t>
  </si>
  <si>
    <t>Efficiency 30%</t>
  </si>
  <si>
    <t>Highest emissions</t>
  </si>
  <si>
    <t xml:space="preserve">  - New coal plants</t>
  </si>
  <si>
    <t>Still high emissions</t>
  </si>
  <si>
    <t>Hydro</t>
  </si>
  <si>
    <t>Zero emissions</t>
  </si>
  <si>
    <t>Clean renewable</t>
  </si>
  <si>
    <t>Solar</t>
  </si>
  <si>
    <t>Wind</t>
  </si>
  <si>
    <t>NOTE:</t>
  </si>
  <si>
    <t>Emission factors depend on plant efficiency. Use plant-specific values from pypsa_generators.csv</t>
  </si>
  <si>
    <t>CARBON TAX SCENARIOS (Scenario 2)</t>
  </si>
  <si>
    <t>Test different carbon prices to analyze fuel switching behavior</t>
  </si>
  <si>
    <t>Scenario</t>
  </si>
  <si>
    <t>Carbon Price</t>
  </si>
  <si>
    <t>Context</t>
  </si>
  <si>
    <t>Expected Impact</t>
  </si>
  <si>
    <t>Baseline (BAU)</t>
  </si>
  <si>
    <t>$/tCO2</t>
  </si>
  <si>
    <t>No carbon pricing</t>
  </si>
  <si>
    <t>Coal competitive, business as usual</t>
  </si>
  <si>
    <t>Low Tax</t>
  </si>
  <si>
    <t>Entry-level carbon tax</t>
  </si>
  <si>
    <t>Coal still competitive vs old gas</t>
  </si>
  <si>
    <t>Medium Tax</t>
  </si>
  <si>
    <t>EU ETS ~2023 level</t>
  </si>
  <si>
    <t>Coal becomes expensive, gas competitive</t>
  </si>
  <si>
    <t>High Tax</t>
  </si>
  <si>
    <t>Aggressive climate policy</t>
  </si>
  <si>
    <t>Coal heavily penalized, renewables favored</t>
  </si>
  <si>
    <t>Very High Tax</t>
  </si>
  <si>
    <t>Strict decarbonization</t>
  </si>
  <si>
    <t>Coal uneconomical, major fuel switch</t>
  </si>
  <si>
    <t>Custom</t>
  </si>
  <si>
    <t>User-defined</t>
  </si>
  <si>
    <t>Enter your own carbon price here</t>
  </si>
  <si>
    <t>MARGINAL COST IMPACT CALCULATOR</t>
  </si>
  <si>
    <t>Calculate how carbon tax affects generation costs</t>
  </si>
  <si>
    <t>Selected Carbon Price:</t>
  </si>
  <si>
    <t>← Enter carbon price here</t>
  </si>
  <si>
    <t>Base Cost</t>
  </si>
  <si>
    <t>Carbon Cost</t>
  </si>
  <si>
    <t>Total Cost</t>
  </si>
  <si>
    <t>vs BAU</t>
  </si>
  <si>
    <t>Old Gas (avg)</t>
  </si>
  <si>
    <t>Mid Gas (avg)</t>
  </si>
  <si>
    <t>New Gas (avg)</t>
  </si>
  <si>
    <t>Coal (avg)</t>
  </si>
  <si>
    <t>Renewables</t>
  </si>
  <si>
    <t>CRITICAL THRESHOLD:</t>
  </si>
  <si>
    <t>At ~$25-40/tCO2, new gas becomes cheaper than coal</t>
  </si>
  <si>
    <t>At ~$50+/tCO2, mid-age gas becomes cheaper than coal</t>
  </si>
  <si>
    <t>EMISSION REDUCTION TARGETS (Scenarios 3 &amp; 4)</t>
  </si>
  <si>
    <t>Target Year</t>
  </si>
  <si>
    <t>Reduction from 2018</t>
  </si>
  <si>
    <t>Baseline Emissions</t>
  </si>
  <si>
    <t>Target Emissions</t>
  </si>
  <si>
    <t>BASELINE (2018 Estimate)</t>
  </si>
  <si>
    <t>0%</t>
  </si>
  <si>
    <t>Scenario 3: Climate Target</t>
  </si>
  <si>
    <t>-50%</t>
  </si>
  <si>
    <t>Scenario 4: Milestone 2030</t>
  </si>
  <si>
    <t>Scenario 4: Milestone 2040</t>
  </si>
  <si>
    <t>-80%</t>
  </si>
  <si>
    <t>Scenario 4: Net Zero 2050</t>
  </si>
  <si>
    <t>-95%</t>
  </si>
  <si>
    <t>Unit: tonnes CO2/year</t>
  </si>
  <si>
    <t>NOTE: Adjust baseline (yellow cell) based on your BAU scenario results or historical data</t>
  </si>
  <si>
    <t>HOW TO USE IN PYPSA</t>
  </si>
  <si>
    <t>Scenario 1 (BAU)</t>
  </si>
  <si>
    <t>No CO2 constraints - optimize for minimum cost only</t>
  </si>
  <si>
    <t>Scenario 2 (Carbon Tax)</t>
  </si>
  <si>
    <t>Add carbon cost to marginal costs: marginal_cost += emission_factor × carbon_price</t>
  </si>
  <si>
    <t>Scenario 3 (2030 Target)</t>
  </si>
  <si>
    <t>Set hard CO2 cap: network.add("GlobalConstraint", co2_limit=target_emissions)</t>
  </si>
  <si>
    <t>Scenario 4 (Net Zero)</t>
  </si>
  <si>
    <t>Progressive caps for each milestone year (2030, 2040, 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</si>
</sst>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2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9"/>
      <name val="Calibri"/>
      <family val="2"/>
    </font>
    <font>
      <b/>
      <sz val="16"/>
      <color rgb="FF0000FF"/>
      <name val="Calibri"/>
      <family val="2"/>
    </font>
    <font>
      <b/>
      <sz val="12"/>
      <name val="Calibri"/>
      <family val="2"/>
    </font>
    <font>
      <sz val="9"/>
      <name val="Courier New"/>
      <family val="1"/>
    </font>
    <font>
      <sz val="10"/>
      <name val="Calibri"/>
      <family val="2"/>
    </font>
    <font>
      <b/>
      <sz val="11"/>
      <color rgb="FFFF0000"/>
      <name val="Calibri"/>
      <family val="2"/>
    </font>
    <font>
      <sz val="9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0000FF"/>
      <name val="Calibri"/>
      <family val="2"/>
    </font>
    <font>
      <i/>
      <sz val="9"/>
      <color rgb="FFFF000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2" fillId="0" borderId="0" xfId="0" applyFont="1"/>
    <xf numFmtId="0" fontId="3" fillId="2" borderId="0" xfId="0" applyFont="1" applyFill="1"/>
    <xf numFmtId="0" fontId="5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4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8" fillId="0" borderId="0" xfId="0" applyFont="1"/>
    <xf numFmtId="165" fontId="4" fillId="0" borderId="0" xfId="0" applyNumberFormat="1" applyFont="1"/>
    <xf numFmtId="3" fontId="0" fillId="0" borderId="0" xfId="0" applyNumberFormat="1"/>
    <xf numFmtId="9" fontId="4" fillId="0" borderId="0" xfId="0" applyNumberFormat="1" applyFont="1"/>
    <xf numFmtId="3" fontId="9" fillId="0" borderId="0" xfId="0" applyNumberFormat="1" applyFont="1"/>
    <xf numFmtId="2" fontId="4" fillId="0" borderId="0" xfId="0" applyNumberFormat="1" applyFont="1"/>
    <xf numFmtId="0" fontId="15" fillId="0" borderId="0" xfId="0" applyFont="1"/>
    <xf numFmtId="165" fontId="0" fillId="0" borderId="0" xfId="0" applyNumberFormat="1"/>
    <xf numFmtId="0" fontId="17" fillId="3" borderId="0" xfId="0" applyFont="1" applyFill="1"/>
    <xf numFmtId="165" fontId="18" fillId="3" borderId="0" xfId="0" applyNumberFormat="1" applyFont="1" applyFill="1"/>
    <xf numFmtId="2" fontId="0" fillId="0" borderId="0" xfId="0" applyNumberFormat="1"/>
    <xf numFmtId="165" fontId="9" fillId="0" borderId="0" xfId="0" applyNumberFormat="1" applyFont="1"/>
    <xf numFmtId="9" fontId="0" fillId="0" borderId="0" xfId="0" applyNumberFormat="1"/>
    <xf numFmtId="3" fontId="4" fillId="3" borderId="0" xfId="0" applyNumberFormat="1" applyFont="1" applyFill="1"/>
    <xf numFmtId="0" fontId="20" fillId="0" borderId="0" xfId="0" applyFont="1"/>
    <xf numFmtId="0" fontId="0" fillId="0" borderId="0" xfId="0"/>
    <xf numFmtId="0" fontId="13" fillId="0" borderId="0" xfId="0" applyFont="1"/>
    <xf numFmtId="0" fontId="14" fillId="0" borderId="0" xfId="0" applyFont="1"/>
    <xf numFmtId="0" fontId="11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9" fillId="0" borderId="0" xfId="0" applyFont="1"/>
    <xf numFmtId="0" fontId="12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sqref="A1:D1"/>
    </sheetView>
  </sheetViews>
  <sheetFormatPr baseColWidth="10" defaultColWidth="8.83203125" defaultRowHeight="15" x14ac:dyDescent="0.2"/>
  <cols>
    <col min="1" max="1" width="20" customWidth="1"/>
    <col min="2" max="2" width="35" customWidth="1"/>
    <col min="3" max="3" width="50" customWidth="1"/>
    <col min="4" max="4" width="15" customWidth="1"/>
  </cols>
  <sheetData>
    <row r="1" spans="1:4" ht="21" x14ac:dyDescent="0.25">
      <c r="A1" s="27" t="s">
        <v>0</v>
      </c>
      <c r="B1" s="24"/>
      <c r="C1" s="24"/>
      <c r="D1" s="24"/>
    </row>
    <row r="3" spans="1:4" ht="16" x14ac:dyDescent="0.2">
      <c r="A3" s="1" t="s">
        <v>1</v>
      </c>
    </row>
    <row r="4" spans="1:4" x14ac:dyDescent="0.2">
      <c r="A4" s="24" t="s">
        <v>2</v>
      </c>
      <c r="B4" s="24"/>
      <c r="C4" s="24"/>
      <c r="D4" s="24"/>
    </row>
    <row r="5" spans="1:4" x14ac:dyDescent="0.2">
      <c r="A5" s="24" t="s">
        <v>3</v>
      </c>
      <c r="B5" s="24"/>
      <c r="C5" s="24"/>
      <c r="D5" s="24"/>
    </row>
    <row r="7" spans="1:4" ht="16" x14ac:dyDescent="0.2">
      <c r="A7" s="1" t="s">
        <v>4</v>
      </c>
    </row>
    <row r="9" spans="1:4" x14ac:dyDescent="0.2">
      <c r="A9" s="2" t="s">
        <v>5</v>
      </c>
      <c r="B9" s="2" t="s">
        <v>6</v>
      </c>
      <c r="C9" s="2" t="s">
        <v>7</v>
      </c>
    </row>
    <row r="10" spans="1:4" x14ac:dyDescent="0.2">
      <c r="A10" s="3" t="s">
        <v>8</v>
      </c>
      <c r="B10" t="s">
        <v>9</v>
      </c>
      <c r="C10" t="s">
        <v>10</v>
      </c>
    </row>
    <row r="11" spans="1:4" x14ac:dyDescent="0.2">
      <c r="A11" s="3" t="s">
        <v>11</v>
      </c>
      <c r="B11" t="s">
        <v>12</v>
      </c>
      <c r="C11" t="s">
        <v>13</v>
      </c>
    </row>
    <row r="12" spans="1:4" x14ac:dyDescent="0.2">
      <c r="A12" s="3" t="s">
        <v>14</v>
      </c>
      <c r="B12" t="s">
        <v>15</v>
      </c>
      <c r="C12" t="s">
        <v>16</v>
      </c>
    </row>
    <row r="13" spans="1:4" x14ac:dyDescent="0.2">
      <c r="A13" s="3" t="s">
        <v>17</v>
      </c>
      <c r="B13" t="s">
        <v>18</v>
      </c>
      <c r="C13" t="s">
        <v>19</v>
      </c>
    </row>
    <row r="16" spans="1:4" ht="16" x14ac:dyDescent="0.2">
      <c r="A16" s="1" t="s">
        <v>20</v>
      </c>
    </row>
    <row r="18" spans="1:4" x14ac:dyDescent="0.2">
      <c r="A18" s="25" t="s">
        <v>21</v>
      </c>
      <c r="B18" s="24"/>
      <c r="C18" s="24"/>
      <c r="D18" s="24"/>
    </row>
    <row r="19" spans="1:4" x14ac:dyDescent="0.2">
      <c r="A19" s="25" t="s">
        <v>22</v>
      </c>
      <c r="B19" s="24"/>
      <c r="C19" s="24"/>
      <c r="D19" s="24"/>
    </row>
    <row r="20" spans="1:4" x14ac:dyDescent="0.2">
      <c r="A20" s="25"/>
      <c r="B20" s="24"/>
      <c r="C20" s="24"/>
      <c r="D20" s="24"/>
    </row>
    <row r="21" spans="1:4" x14ac:dyDescent="0.2">
      <c r="A21" s="25" t="s">
        <v>23</v>
      </c>
      <c r="B21" s="24"/>
      <c r="C21" s="24"/>
      <c r="D21" s="24"/>
    </row>
    <row r="22" spans="1:4" x14ac:dyDescent="0.2">
      <c r="A22" s="25" t="s">
        <v>24</v>
      </c>
      <c r="B22" s="24"/>
      <c r="C22" s="24"/>
      <c r="D22" s="24"/>
    </row>
    <row r="23" spans="1:4" x14ac:dyDescent="0.2">
      <c r="A23" s="25"/>
      <c r="B23" s="24"/>
      <c r="C23" s="24"/>
      <c r="D23" s="24"/>
    </row>
    <row r="24" spans="1:4" x14ac:dyDescent="0.2">
      <c r="A24" s="25" t="s">
        <v>25</v>
      </c>
      <c r="B24" s="24"/>
      <c r="C24" s="24"/>
      <c r="D24" s="24"/>
    </row>
    <row r="25" spans="1:4" x14ac:dyDescent="0.2">
      <c r="A25" s="25" t="s">
        <v>26</v>
      </c>
      <c r="B25" s="24"/>
      <c r="C25" s="24"/>
      <c r="D25" s="24"/>
    </row>
    <row r="26" spans="1:4" x14ac:dyDescent="0.2">
      <c r="A26" s="25"/>
      <c r="B26" s="24"/>
      <c r="C26" s="24"/>
      <c r="D26" s="24"/>
    </row>
    <row r="27" spans="1:4" x14ac:dyDescent="0.2">
      <c r="A27" s="25" t="s">
        <v>27</v>
      </c>
      <c r="B27" s="24"/>
      <c r="C27" s="24"/>
      <c r="D27" s="24"/>
    </row>
    <row r="28" spans="1:4" x14ac:dyDescent="0.2">
      <c r="A28" s="25" t="s">
        <v>28</v>
      </c>
      <c r="B28" s="24"/>
      <c r="C28" s="24"/>
      <c r="D28" s="24"/>
    </row>
    <row r="30" spans="1:4" ht="16" x14ac:dyDescent="0.2">
      <c r="A30" s="1" t="s">
        <v>29</v>
      </c>
    </row>
    <row r="32" spans="1:4" x14ac:dyDescent="0.2">
      <c r="A32" s="26" t="s">
        <v>30</v>
      </c>
      <c r="B32" s="24"/>
      <c r="C32" s="24"/>
      <c r="D32" s="24"/>
    </row>
    <row r="33" spans="1:4" x14ac:dyDescent="0.2">
      <c r="A33" s="26" t="s">
        <v>31</v>
      </c>
      <c r="B33" s="24"/>
      <c r="C33" s="24"/>
      <c r="D33" s="24"/>
    </row>
    <row r="34" spans="1:4" x14ac:dyDescent="0.2">
      <c r="A34" s="26" t="s">
        <v>32</v>
      </c>
      <c r="B34" s="24"/>
      <c r="C34" s="24"/>
      <c r="D34" s="24"/>
    </row>
    <row r="35" spans="1:4" x14ac:dyDescent="0.2">
      <c r="A35" s="26" t="s">
        <v>33</v>
      </c>
      <c r="B35" s="24"/>
      <c r="C35" s="24"/>
      <c r="D35" s="24"/>
    </row>
    <row r="36" spans="1:4" x14ac:dyDescent="0.2">
      <c r="A36" s="26" t="s">
        <v>34</v>
      </c>
      <c r="B36" s="24"/>
      <c r="C36" s="24"/>
      <c r="D36" s="24"/>
    </row>
    <row r="37" spans="1:4" x14ac:dyDescent="0.2">
      <c r="A37" s="26" t="s">
        <v>35</v>
      </c>
      <c r="B37" s="24"/>
      <c r="C37" s="24"/>
      <c r="D37" s="24"/>
    </row>
    <row r="38" spans="1:4" x14ac:dyDescent="0.2">
      <c r="A38" s="26" t="s">
        <v>36</v>
      </c>
      <c r="B38" s="24"/>
      <c r="C38" s="24"/>
      <c r="D38" s="24"/>
    </row>
  </sheetData>
  <mergeCells count="21">
    <mergeCell ref="A1:D1"/>
    <mergeCell ref="A25:D25"/>
    <mergeCell ref="A37:D37"/>
    <mergeCell ref="A18:D18"/>
    <mergeCell ref="A27:D27"/>
    <mergeCell ref="A26:D26"/>
    <mergeCell ref="A21:D21"/>
    <mergeCell ref="A33:D33"/>
    <mergeCell ref="A32:D32"/>
    <mergeCell ref="A38:D38"/>
    <mergeCell ref="A19:D19"/>
    <mergeCell ref="A28:D28"/>
    <mergeCell ref="A34:D34"/>
    <mergeCell ref="A24:D24"/>
    <mergeCell ref="A36:D36"/>
    <mergeCell ref="A5:D5"/>
    <mergeCell ref="A23:D23"/>
    <mergeCell ref="A22:D22"/>
    <mergeCell ref="A35:D35"/>
    <mergeCell ref="A4:D4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83203125" defaultRowHeight="15" x14ac:dyDescent="0.2"/>
  <cols>
    <col min="1" max="1" width="15" customWidth="1"/>
    <col min="2" max="2" width="18" customWidth="1"/>
    <col min="3" max="3" width="25" customWidth="1"/>
  </cols>
  <sheetData>
    <row r="1" spans="1:3" ht="19" x14ac:dyDescent="0.25">
      <c r="A1" s="28" t="s">
        <v>37</v>
      </c>
      <c r="B1" s="24"/>
      <c r="C1" s="24"/>
    </row>
    <row r="2" spans="1:3" x14ac:dyDescent="0.2">
      <c r="A2" s="29" t="s">
        <v>38</v>
      </c>
      <c r="B2" s="24"/>
      <c r="C2" s="24"/>
    </row>
    <row r="4" spans="1:3" x14ac:dyDescent="0.2">
      <c r="A4" s="5" t="s">
        <v>39</v>
      </c>
      <c r="B4" s="5" t="s">
        <v>40</v>
      </c>
      <c r="C4" s="5" t="s">
        <v>41</v>
      </c>
    </row>
    <row r="5" spans="1:3" x14ac:dyDescent="0.2">
      <c r="A5" t="s">
        <v>42</v>
      </c>
      <c r="B5" s="6">
        <v>0.15</v>
      </c>
      <c r="C5" t="s">
        <v>43</v>
      </c>
    </row>
    <row r="6" spans="1:3" x14ac:dyDescent="0.2">
      <c r="A6" t="s">
        <v>44</v>
      </c>
      <c r="B6" s="6">
        <v>0.2</v>
      </c>
      <c r="C6" t="s">
        <v>45</v>
      </c>
    </row>
    <row r="7" spans="1:3" x14ac:dyDescent="0.2">
      <c r="A7" t="s">
        <v>46</v>
      </c>
      <c r="B7" s="6">
        <v>0.25</v>
      </c>
      <c r="C7" t="s">
        <v>47</v>
      </c>
    </row>
    <row r="8" spans="1:3" x14ac:dyDescent="0.2">
      <c r="A8" t="s">
        <v>48</v>
      </c>
      <c r="B8" s="6">
        <v>0.3</v>
      </c>
      <c r="C8" t="s">
        <v>49</v>
      </c>
    </row>
    <row r="9" spans="1:3" x14ac:dyDescent="0.2">
      <c r="A9" t="s">
        <v>50</v>
      </c>
      <c r="B9" s="6">
        <v>0.32</v>
      </c>
      <c r="C9" t="s">
        <v>51</v>
      </c>
    </row>
    <row r="10" spans="1:3" x14ac:dyDescent="0.2">
      <c r="A10" t="s">
        <v>52</v>
      </c>
      <c r="B10" s="6">
        <v>0.33</v>
      </c>
      <c r="C10" t="s">
        <v>53</v>
      </c>
    </row>
    <row r="11" spans="1:3" x14ac:dyDescent="0.2">
      <c r="A11" t="s">
        <v>54</v>
      </c>
      <c r="B11" s="6">
        <v>0.32</v>
      </c>
      <c r="C11" t="s">
        <v>51</v>
      </c>
    </row>
    <row r="12" spans="1:3" x14ac:dyDescent="0.2">
      <c r="A12" t="s">
        <v>55</v>
      </c>
      <c r="B12" s="6">
        <v>0.3</v>
      </c>
      <c r="C12" t="s">
        <v>49</v>
      </c>
    </row>
    <row r="13" spans="1:3" x14ac:dyDescent="0.2">
      <c r="A13" t="s">
        <v>56</v>
      </c>
      <c r="B13" s="6">
        <v>0.28000000000000003</v>
      </c>
      <c r="C13" t="s">
        <v>57</v>
      </c>
    </row>
    <row r="14" spans="1:3" x14ac:dyDescent="0.2">
      <c r="A14" t="s">
        <v>58</v>
      </c>
      <c r="B14" s="6">
        <v>0.23</v>
      </c>
      <c r="C14" t="s">
        <v>59</v>
      </c>
    </row>
    <row r="15" spans="1:3" x14ac:dyDescent="0.2">
      <c r="A15" t="s">
        <v>60</v>
      </c>
      <c r="B15" s="6">
        <v>0.17</v>
      </c>
      <c r="C15" t="s">
        <v>61</v>
      </c>
    </row>
    <row r="16" spans="1:3" x14ac:dyDescent="0.2">
      <c r="A16" t="s">
        <v>62</v>
      </c>
      <c r="B16" s="6">
        <v>0.14000000000000001</v>
      </c>
      <c r="C16" t="s">
        <v>43</v>
      </c>
    </row>
    <row r="17" spans="1:3" x14ac:dyDescent="0.2">
      <c r="A17" s="3" t="s">
        <v>63</v>
      </c>
      <c r="B17" s="7">
        <f>AVERAGE(B5:B16)</f>
        <v>0.24916666666666668</v>
      </c>
      <c r="C17" t="s">
        <v>64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8.83203125" defaultRowHeight="15" x14ac:dyDescent="0.2"/>
  <cols>
    <col min="1" max="1" width="15" customWidth="1"/>
    <col min="2" max="2" width="18" customWidth="1"/>
    <col min="3" max="3" width="25" customWidth="1"/>
  </cols>
  <sheetData>
    <row r="1" spans="1:3" ht="19" x14ac:dyDescent="0.25">
      <c r="A1" s="28" t="s">
        <v>65</v>
      </c>
      <c r="B1" s="24"/>
      <c r="C1" s="24"/>
    </row>
    <row r="2" spans="1:3" x14ac:dyDescent="0.2">
      <c r="A2" s="29" t="s">
        <v>66</v>
      </c>
      <c r="B2" s="24"/>
      <c r="C2" s="24"/>
    </row>
    <row r="4" spans="1:3" x14ac:dyDescent="0.2">
      <c r="A4" s="5" t="s">
        <v>39</v>
      </c>
      <c r="B4" s="5" t="s">
        <v>40</v>
      </c>
      <c r="C4" s="5" t="s">
        <v>41</v>
      </c>
    </row>
    <row r="5" spans="1:3" x14ac:dyDescent="0.2">
      <c r="A5" t="s">
        <v>42</v>
      </c>
      <c r="B5" s="6">
        <v>0.35</v>
      </c>
      <c r="C5" t="s">
        <v>67</v>
      </c>
    </row>
    <row r="6" spans="1:3" x14ac:dyDescent="0.2">
      <c r="A6" t="s">
        <v>44</v>
      </c>
      <c r="B6" s="6">
        <v>0.35</v>
      </c>
      <c r="C6" t="s">
        <v>67</v>
      </c>
    </row>
    <row r="7" spans="1:3" x14ac:dyDescent="0.2">
      <c r="A7" t="s">
        <v>46</v>
      </c>
      <c r="B7" s="6">
        <v>0.32</v>
      </c>
      <c r="C7" t="s">
        <v>47</v>
      </c>
    </row>
    <row r="8" spans="1:3" x14ac:dyDescent="0.2">
      <c r="A8" t="s">
        <v>48</v>
      </c>
      <c r="B8" s="6">
        <v>0.3</v>
      </c>
      <c r="C8" t="s">
        <v>68</v>
      </c>
    </row>
    <row r="9" spans="1:3" x14ac:dyDescent="0.2">
      <c r="A9" t="s">
        <v>50</v>
      </c>
      <c r="B9" s="6">
        <v>0.28000000000000003</v>
      </c>
      <c r="C9" t="s">
        <v>59</v>
      </c>
    </row>
    <row r="10" spans="1:3" x14ac:dyDescent="0.2">
      <c r="A10" t="s">
        <v>52</v>
      </c>
      <c r="B10" s="6">
        <v>0.25</v>
      </c>
      <c r="C10" t="s">
        <v>69</v>
      </c>
    </row>
    <row r="11" spans="1:3" x14ac:dyDescent="0.2">
      <c r="A11" t="s">
        <v>54</v>
      </c>
      <c r="B11" s="6">
        <v>0.25</v>
      </c>
      <c r="C11" t="s">
        <v>69</v>
      </c>
    </row>
    <row r="12" spans="1:3" x14ac:dyDescent="0.2">
      <c r="A12" t="s">
        <v>55</v>
      </c>
      <c r="B12" s="6">
        <v>0.25</v>
      </c>
      <c r="C12" t="s">
        <v>69</v>
      </c>
    </row>
    <row r="13" spans="1:3" x14ac:dyDescent="0.2">
      <c r="A13" t="s">
        <v>56</v>
      </c>
      <c r="B13" s="6">
        <v>0.28000000000000003</v>
      </c>
      <c r="C13" t="s">
        <v>57</v>
      </c>
    </row>
    <row r="14" spans="1:3" x14ac:dyDescent="0.2">
      <c r="A14" t="s">
        <v>58</v>
      </c>
      <c r="B14" s="6">
        <v>0.3</v>
      </c>
      <c r="C14" t="s">
        <v>45</v>
      </c>
    </row>
    <row r="15" spans="1:3" x14ac:dyDescent="0.2">
      <c r="A15" t="s">
        <v>60</v>
      </c>
      <c r="B15" s="6">
        <v>0.32</v>
      </c>
      <c r="C15" t="s">
        <v>61</v>
      </c>
    </row>
    <row r="16" spans="1:3" x14ac:dyDescent="0.2">
      <c r="A16" t="s">
        <v>62</v>
      </c>
      <c r="B16" s="6">
        <v>0.35</v>
      </c>
      <c r="C16" t="s">
        <v>67</v>
      </c>
    </row>
    <row r="17" spans="1:3" x14ac:dyDescent="0.2">
      <c r="A17" s="3" t="s">
        <v>63</v>
      </c>
      <c r="B17" s="7">
        <f>AVERAGE(B5:B16)</f>
        <v>0.3</v>
      </c>
      <c r="C17" t="s">
        <v>70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/>
  </sheetViews>
  <sheetFormatPr baseColWidth="10" defaultColWidth="8.83203125" defaultRowHeight="15" x14ac:dyDescent="0.2"/>
  <cols>
    <col min="1" max="1" width="15" customWidth="1"/>
    <col min="2" max="2" width="18" customWidth="1"/>
    <col min="3" max="3" width="15" customWidth="1"/>
    <col min="4" max="4" width="30" customWidth="1"/>
  </cols>
  <sheetData>
    <row r="1" spans="1:4" ht="19" x14ac:dyDescent="0.25">
      <c r="A1" s="28" t="s">
        <v>71</v>
      </c>
      <c r="B1" s="24"/>
      <c r="C1" s="24"/>
      <c r="D1" s="24"/>
    </row>
    <row r="2" spans="1:4" x14ac:dyDescent="0.2">
      <c r="A2" s="29" t="s">
        <v>72</v>
      </c>
      <c r="B2" s="24"/>
      <c r="C2" s="24"/>
      <c r="D2" s="24"/>
    </row>
    <row r="4" spans="1:4" x14ac:dyDescent="0.2">
      <c r="A4" s="5" t="s">
        <v>39</v>
      </c>
      <c r="B4" s="5" t="s">
        <v>40</v>
      </c>
      <c r="C4" s="5" t="s">
        <v>73</v>
      </c>
      <c r="D4" s="5" t="s">
        <v>41</v>
      </c>
    </row>
    <row r="5" spans="1:4" x14ac:dyDescent="0.2">
      <c r="A5" t="s">
        <v>42</v>
      </c>
      <c r="B5" s="6">
        <v>0.15</v>
      </c>
      <c r="C5" t="s">
        <v>74</v>
      </c>
      <c r="D5" t="s">
        <v>75</v>
      </c>
    </row>
    <row r="6" spans="1:4" x14ac:dyDescent="0.2">
      <c r="A6" t="s">
        <v>44</v>
      </c>
      <c r="B6" s="6">
        <v>0.15</v>
      </c>
      <c r="C6" t="s">
        <v>74</v>
      </c>
      <c r="D6" t="s">
        <v>76</v>
      </c>
    </row>
    <row r="7" spans="1:4" x14ac:dyDescent="0.2">
      <c r="A7" t="s">
        <v>46</v>
      </c>
      <c r="B7" s="6">
        <v>0.25</v>
      </c>
      <c r="C7" t="s">
        <v>77</v>
      </c>
      <c r="D7" t="s">
        <v>78</v>
      </c>
    </row>
    <row r="8" spans="1:4" x14ac:dyDescent="0.2">
      <c r="A8" t="s">
        <v>48</v>
      </c>
      <c r="B8" s="6">
        <v>0.55000000000000004</v>
      </c>
      <c r="C8" t="s">
        <v>79</v>
      </c>
      <c r="D8" t="s">
        <v>80</v>
      </c>
    </row>
    <row r="9" spans="1:4" x14ac:dyDescent="0.2">
      <c r="A9" t="s">
        <v>50</v>
      </c>
      <c r="B9" s="6">
        <v>0.7</v>
      </c>
      <c r="C9" t="s">
        <v>81</v>
      </c>
      <c r="D9" t="s">
        <v>80</v>
      </c>
    </row>
    <row r="10" spans="1:4" x14ac:dyDescent="0.2">
      <c r="A10" t="s">
        <v>52</v>
      </c>
      <c r="B10" s="6">
        <v>0.65</v>
      </c>
      <c r="C10" t="s">
        <v>79</v>
      </c>
      <c r="D10" t="s">
        <v>82</v>
      </c>
    </row>
    <row r="11" spans="1:4" x14ac:dyDescent="0.2">
      <c r="A11" t="s">
        <v>54</v>
      </c>
      <c r="B11" s="6">
        <v>0.45</v>
      </c>
      <c r="C11" t="s">
        <v>83</v>
      </c>
      <c r="D11" t="s">
        <v>84</v>
      </c>
    </row>
    <row r="12" spans="1:4" x14ac:dyDescent="0.2">
      <c r="A12" t="s">
        <v>55</v>
      </c>
      <c r="B12" s="6">
        <v>0.3</v>
      </c>
      <c r="C12" t="s">
        <v>85</v>
      </c>
      <c r="D12" t="s">
        <v>86</v>
      </c>
    </row>
    <row r="13" spans="1:4" x14ac:dyDescent="0.2">
      <c r="A13" t="s">
        <v>56</v>
      </c>
      <c r="B13" s="6">
        <v>0.25</v>
      </c>
      <c r="C13" t="s">
        <v>87</v>
      </c>
      <c r="D13" t="s">
        <v>88</v>
      </c>
    </row>
    <row r="14" spans="1:4" x14ac:dyDescent="0.2">
      <c r="A14" t="s">
        <v>58</v>
      </c>
      <c r="B14" s="6">
        <v>0.2</v>
      </c>
      <c r="C14" t="s">
        <v>74</v>
      </c>
      <c r="D14" t="s">
        <v>88</v>
      </c>
    </row>
    <row r="15" spans="1:4" x14ac:dyDescent="0.2">
      <c r="A15" t="s">
        <v>60</v>
      </c>
      <c r="B15" s="6">
        <v>0.18</v>
      </c>
      <c r="C15" t="s">
        <v>74</v>
      </c>
      <c r="D15" t="s">
        <v>89</v>
      </c>
    </row>
    <row r="16" spans="1:4" x14ac:dyDescent="0.2">
      <c r="A16" t="s">
        <v>62</v>
      </c>
      <c r="B16" s="6">
        <v>0.15</v>
      </c>
      <c r="C16" t="s">
        <v>74</v>
      </c>
      <c r="D16" t="s">
        <v>76</v>
      </c>
    </row>
    <row r="17" spans="1:4" x14ac:dyDescent="0.2">
      <c r="A17" s="3" t="s">
        <v>63</v>
      </c>
      <c r="B17" s="7">
        <f>AVERAGE(B5:B16)</f>
        <v>0.33166666666666672</v>
      </c>
      <c r="D17" t="s">
        <v>90</v>
      </c>
    </row>
    <row r="19" spans="1:4" x14ac:dyDescent="0.2">
      <c r="A19" s="8" t="s">
        <v>91</v>
      </c>
      <c r="B19" s="30" t="s">
        <v>92</v>
      </c>
      <c r="C19" s="24"/>
      <c r="D19" s="24"/>
    </row>
    <row r="20" spans="1:4" x14ac:dyDescent="0.2">
      <c r="A20" s="29" t="s">
        <v>93</v>
      </c>
      <c r="B20" s="24"/>
      <c r="C20" s="24"/>
      <c r="D20" s="24"/>
    </row>
  </sheetData>
  <mergeCells count="4">
    <mergeCell ref="A1:D1"/>
    <mergeCell ref="B19:D19"/>
    <mergeCell ref="A20:D2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baseColWidth="10" defaultColWidth="8.83203125" defaultRowHeight="15" x14ac:dyDescent="0.2"/>
  <cols>
    <col min="1" max="1" width="18" customWidth="1"/>
    <col min="2" max="4" width="14" customWidth="1"/>
    <col min="5" max="5" width="16" customWidth="1"/>
    <col min="6" max="6" width="30" customWidth="1"/>
  </cols>
  <sheetData>
    <row r="1" spans="1:6" ht="19" x14ac:dyDescent="0.25">
      <c r="A1" s="28" t="s">
        <v>94</v>
      </c>
      <c r="B1" s="24"/>
      <c r="C1" s="24"/>
      <c r="D1" s="24"/>
      <c r="E1" s="24"/>
      <c r="F1" s="24"/>
    </row>
    <row r="2" spans="1:6" x14ac:dyDescent="0.2">
      <c r="A2" s="29" t="s">
        <v>95</v>
      </c>
      <c r="B2" s="24"/>
      <c r="C2" s="24"/>
      <c r="D2" s="24"/>
      <c r="E2" s="24"/>
      <c r="F2" s="24"/>
    </row>
    <row r="4" spans="1:6" x14ac:dyDescent="0.2">
      <c r="A4" s="31" t="s">
        <v>96</v>
      </c>
      <c r="B4" s="24"/>
      <c r="C4" s="24"/>
      <c r="D4" s="24"/>
      <c r="E4" s="24"/>
      <c r="F4" s="24"/>
    </row>
    <row r="5" spans="1:6" x14ac:dyDescent="0.2">
      <c r="A5" s="5" t="s">
        <v>97</v>
      </c>
      <c r="B5" s="5" t="s">
        <v>98</v>
      </c>
      <c r="C5" s="5" t="s">
        <v>99</v>
      </c>
      <c r="D5" s="5" t="s">
        <v>100</v>
      </c>
      <c r="E5" s="5" t="s">
        <v>101</v>
      </c>
      <c r="F5" s="5" t="s">
        <v>41</v>
      </c>
    </row>
    <row r="6" spans="1:6" x14ac:dyDescent="0.2">
      <c r="A6" t="s">
        <v>102</v>
      </c>
      <c r="B6" s="10">
        <v>25</v>
      </c>
      <c r="C6" s="10">
        <v>35</v>
      </c>
      <c r="D6" s="10">
        <v>30</v>
      </c>
      <c r="E6" s="11">
        <v>6300</v>
      </c>
      <c r="F6" t="s">
        <v>103</v>
      </c>
    </row>
    <row r="7" spans="1:6" x14ac:dyDescent="0.2">
      <c r="A7" t="s">
        <v>104</v>
      </c>
      <c r="B7" s="10">
        <v>30</v>
      </c>
      <c r="C7" s="10">
        <v>40</v>
      </c>
      <c r="D7" s="10">
        <v>35</v>
      </c>
      <c r="E7" s="11">
        <v>3150</v>
      </c>
      <c r="F7" t="s">
        <v>103</v>
      </c>
    </row>
    <row r="8" spans="1:6" x14ac:dyDescent="0.2">
      <c r="A8" t="s">
        <v>105</v>
      </c>
      <c r="B8" s="10">
        <v>40</v>
      </c>
      <c r="C8" s="10">
        <v>50</v>
      </c>
      <c r="D8" s="10">
        <v>45</v>
      </c>
      <c r="E8" s="11">
        <v>2100</v>
      </c>
      <c r="F8" t="s">
        <v>106</v>
      </c>
    </row>
    <row r="9" spans="1:6" x14ac:dyDescent="0.2">
      <c r="A9" t="s">
        <v>107</v>
      </c>
      <c r="B9" s="10">
        <v>35</v>
      </c>
      <c r="C9" s="10">
        <v>45</v>
      </c>
      <c r="D9" s="10">
        <v>40</v>
      </c>
      <c r="E9" s="11">
        <v>2450</v>
      </c>
      <c r="F9" t="s">
        <v>108</v>
      </c>
    </row>
    <row r="11" spans="1:6" x14ac:dyDescent="0.2">
      <c r="A11" s="31" t="s">
        <v>109</v>
      </c>
      <c r="B11" s="24"/>
      <c r="C11" s="24"/>
      <c r="D11" s="24"/>
      <c r="E11" s="24"/>
      <c r="F11" s="24"/>
    </row>
    <row r="12" spans="1:6" x14ac:dyDescent="0.2">
      <c r="A12" s="5" t="s">
        <v>110</v>
      </c>
      <c r="B12" s="5" t="s">
        <v>102</v>
      </c>
      <c r="C12" s="5" t="s">
        <v>104</v>
      </c>
      <c r="D12" s="5" t="s">
        <v>105</v>
      </c>
      <c r="E12" s="5" t="s">
        <v>107</v>
      </c>
      <c r="F12" s="5" t="s">
        <v>41</v>
      </c>
    </row>
    <row r="13" spans="1:6" x14ac:dyDescent="0.2">
      <c r="A13" t="s">
        <v>111</v>
      </c>
      <c r="B13" s="12">
        <v>0.1</v>
      </c>
      <c r="C13" s="12">
        <v>0.1</v>
      </c>
      <c r="D13" s="12">
        <v>1</v>
      </c>
      <c r="E13" s="12">
        <v>1</v>
      </c>
      <c r="F13" t="s">
        <v>112</v>
      </c>
    </row>
    <row r="14" spans="1:6" x14ac:dyDescent="0.2">
      <c r="A14" t="s">
        <v>113</v>
      </c>
      <c r="B14" s="12">
        <v>0.6</v>
      </c>
      <c r="C14" s="12">
        <v>0.6</v>
      </c>
      <c r="D14" s="12">
        <v>1</v>
      </c>
      <c r="E14" s="12">
        <v>1</v>
      </c>
      <c r="F14" t="s">
        <v>114</v>
      </c>
    </row>
    <row r="15" spans="1:6" x14ac:dyDescent="0.2">
      <c r="A15" t="s">
        <v>115</v>
      </c>
      <c r="B15" s="12">
        <v>1</v>
      </c>
      <c r="C15" s="12">
        <v>1</v>
      </c>
      <c r="D15" s="12">
        <v>1</v>
      </c>
      <c r="E15" s="12">
        <v>1</v>
      </c>
      <c r="F15" t="s">
        <v>116</v>
      </c>
    </row>
    <row r="16" spans="1:6" x14ac:dyDescent="0.2">
      <c r="A16" t="s">
        <v>117</v>
      </c>
      <c r="B16" s="12">
        <v>0.4</v>
      </c>
      <c r="C16" s="12">
        <v>0.4</v>
      </c>
      <c r="D16" s="12">
        <v>1</v>
      </c>
      <c r="E16" s="12">
        <v>1</v>
      </c>
      <c r="F16" t="s">
        <v>118</v>
      </c>
    </row>
    <row r="18" spans="1:6" x14ac:dyDescent="0.2">
      <c r="A18" s="31" t="s">
        <v>119</v>
      </c>
      <c r="B18" s="24"/>
      <c r="C18" s="24"/>
      <c r="D18" s="24"/>
      <c r="E18" s="24"/>
      <c r="F18" s="24"/>
    </row>
    <row r="19" spans="1:6" x14ac:dyDescent="0.2">
      <c r="A19" s="5" t="s">
        <v>110</v>
      </c>
      <c r="B19" s="5" t="s">
        <v>102</v>
      </c>
      <c r="C19" s="5" t="s">
        <v>104</v>
      </c>
      <c r="D19" s="5" t="s">
        <v>105</v>
      </c>
      <c r="E19" s="5" t="s">
        <v>107</v>
      </c>
      <c r="F19" s="5" t="s">
        <v>120</v>
      </c>
    </row>
    <row r="20" spans="1:6" x14ac:dyDescent="0.2">
      <c r="A20" t="s">
        <v>121</v>
      </c>
      <c r="B20" s="13">
        <f>$E$6*B13</f>
        <v>630</v>
      </c>
      <c r="C20" s="13">
        <f>$E$7*C13</f>
        <v>315</v>
      </c>
      <c r="D20" s="13">
        <f>$E$8*D13</f>
        <v>2100</v>
      </c>
      <c r="E20" s="13">
        <f>$E$9*E13</f>
        <v>2450</v>
      </c>
      <c r="F20" s="13">
        <f>SUM(B20:E20)</f>
        <v>5495</v>
      </c>
    </row>
    <row r="21" spans="1:6" x14ac:dyDescent="0.2">
      <c r="A21" t="s">
        <v>122</v>
      </c>
      <c r="B21" s="13">
        <f>$E$6*B14</f>
        <v>3780</v>
      </c>
      <c r="C21" s="13">
        <f>$E$7*C14</f>
        <v>1890</v>
      </c>
      <c r="D21" s="13">
        <f>$E$8*D14</f>
        <v>2100</v>
      </c>
      <c r="E21" s="13">
        <f>$E$9*E14</f>
        <v>2450</v>
      </c>
      <c r="F21" s="13">
        <f>SUM(B21:E21)</f>
        <v>10220</v>
      </c>
    </row>
    <row r="22" spans="1:6" x14ac:dyDescent="0.2">
      <c r="A22" t="s">
        <v>123</v>
      </c>
      <c r="B22" s="13">
        <f>$E$6*B15</f>
        <v>6300</v>
      </c>
      <c r="C22" s="13">
        <f>$E$7*C15</f>
        <v>3150</v>
      </c>
      <c r="D22" s="13">
        <f>$E$8*D15</f>
        <v>2100</v>
      </c>
      <c r="E22" s="13">
        <f>$E$9*E15</f>
        <v>2450</v>
      </c>
      <c r="F22" s="13">
        <f>SUM(B22:E22)</f>
        <v>14000</v>
      </c>
    </row>
    <row r="23" spans="1:6" x14ac:dyDescent="0.2">
      <c r="A23" t="s">
        <v>124</v>
      </c>
      <c r="B23" s="13">
        <f>$E$6*B16</f>
        <v>2520</v>
      </c>
      <c r="C23" s="13">
        <f>$E$7*C16</f>
        <v>1260</v>
      </c>
      <c r="D23" s="13">
        <f>$E$8*D16</f>
        <v>2100</v>
      </c>
      <c r="E23" s="13">
        <f>$E$9*E16</f>
        <v>2450</v>
      </c>
      <c r="F23" s="13">
        <f>SUM(B23:E23)</f>
        <v>8330</v>
      </c>
    </row>
    <row r="25" spans="1:6" x14ac:dyDescent="0.2">
      <c r="A25" s="9" t="s">
        <v>125</v>
      </c>
    </row>
    <row r="26" spans="1:6" x14ac:dyDescent="0.2">
      <c r="A26" s="32" t="s">
        <v>126</v>
      </c>
      <c r="B26" s="24"/>
      <c r="C26" s="24"/>
      <c r="D26" s="24"/>
      <c r="E26" s="24"/>
      <c r="F26" s="24"/>
    </row>
    <row r="27" spans="1:6" x14ac:dyDescent="0.2">
      <c r="A27" s="32" t="s">
        <v>127</v>
      </c>
      <c r="B27" s="24"/>
      <c r="C27" s="24"/>
      <c r="D27" s="24"/>
      <c r="E27" s="24"/>
      <c r="F27" s="24"/>
    </row>
    <row r="28" spans="1:6" x14ac:dyDescent="0.2">
      <c r="A28" s="32" t="s">
        <v>128</v>
      </c>
      <c r="B28" s="24"/>
      <c r="C28" s="24"/>
      <c r="D28" s="24"/>
      <c r="E28" s="24"/>
      <c r="F28" s="24"/>
    </row>
    <row r="29" spans="1:6" x14ac:dyDescent="0.2">
      <c r="A29" s="32" t="s">
        <v>129</v>
      </c>
      <c r="B29" s="24"/>
      <c r="C29" s="24"/>
      <c r="D29" s="24"/>
      <c r="E29" s="24"/>
      <c r="F29" s="24"/>
    </row>
  </sheetData>
  <mergeCells count="9">
    <mergeCell ref="A29:F29"/>
    <mergeCell ref="A2:F2"/>
    <mergeCell ref="A11:F11"/>
    <mergeCell ref="A28:F28"/>
    <mergeCell ref="A1:F1"/>
    <mergeCell ref="A27:F27"/>
    <mergeCell ref="A18:F18"/>
    <mergeCell ref="A4:F4"/>
    <mergeCell ref="A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7"/>
  <sheetViews>
    <sheetView tabSelected="1" topLeftCell="A26" workbookViewId="0">
      <selection activeCell="B29" sqref="B29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14" customWidth="1"/>
    <col min="4" max="4" width="22" customWidth="1"/>
    <col min="5" max="5" width="35" customWidth="1"/>
    <col min="6" max="6" width="12" customWidth="1"/>
  </cols>
  <sheetData>
    <row r="1" spans="1:5" ht="19" x14ac:dyDescent="0.25">
      <c r="A1" s="28" t="s">
        <v>130</v>
      </c>
      <c r="B1" s="24"/>
      <c r="C1" s="24"/>
      <c r="D1" s="24"/>
      <c r="E1" s="24"/>
    </row>
    <row r="2" spans="1:5" x14ac:dyDescent="0.2">
      <c r="A2" s="29" t="s">
        <v>131</v>
      </c>
      <c r="B2" s="24"/>
      <c r="C2" s="24"/>
      <c r="D2" s="24"/>
      <c r="E2" s="24"/>
    </row>
    <row r="4" spans="1:5" ht="16" x14ac:dyDescent="0.2">
      <c r="A4" s="34" t="s">
        <v>132</v>
      </c>
      <c r="B4" s="24"/>
      <c r="C4" s="24"/>
      <c r="D4" s="24"/>
      <c r="E4" s="24"/>
    </row>
    <row r="5" spans="1:5" x14ac:dyDescent="0.2">
      <c r="A5" s="5" t="s">
        <v>133</v>
      </c>
      <c r="B5" s="5" t="s">
        <v>134</v>
      </c>
      <c r="C5" s="5" t="s">
        <v>135</v>
      </c>
      <c r="D5" s="5" t="s">
        <v>136</v>
      </c>
      <c r="E5" s="5" t="s">
        <v>41</v>
      </c>
    </row>
    <row r="6" spans="1:5" x14ac:dyDescent="0.2">
      <c r="A6" s="3" t="s">
        <v>137</v>
      </c>
      <c r="B6" s="14">
        <v>0.4</v>
      </c>
      <c r="C6" t="s">
        <v>138</v>
      </c>
      <c r="D6" t="s">
        <v>139</v>
      </c>
      <c r="E6" t="s">
        <v>140</v>
      </c>
    </row>
    <row r="7" spans="1:5" x14ac:dyDescent="0.2">
      <c r="A7" s="4" t="s">
        <v>141</v>
      </c>
      <c r="B7" s="14">
        <v>0.49</v>
      </c>
      <c r="C7" t="s">
        <v>138</v>
      </c>
      <c r="D7" t="s">
        <v>142</v>
      </c>
      <c r="E7" t="s">
        <v>143</v>
      </c>
    </row>
    <row r="8" spans="1:5" x14ac:dyDescent="0.2">
      <c r="A8" s="4" t="s">
        <v>144</v>
      </c>
      <c r="B8" s="14">
        <v>0.41</v>
      </c>
      <c r="C8" t="s">
        <v>138</v>
      </c>
      <c r="D8" t="s">
        <v>145</v>
      </c>
      <c r="E8" t="s">
        <v>146</v>
      </c>
    </row>
    <row r="9" spans="1:5" x14ac:dyDescent="0.2">
      <c r="A9" s="4" t="s">
        <v>147</v>
      </c>
      <c r="B9" s="14">
        <v>0.3</v>
      </c>
      <c r="C9" t="s">
        <v>138</v>
      </c>
      <c r="D9" t="s">
        <v>148</v>
      </c>
      <c r="E9" t="s">
        <v>149</v>
      </c>
    </row>
    <row r="10" spans="1:5" x14ac:dyDescent="0.2">
      <c r="A10" s="3" t="s">
        <v>150</v>
      </c>
      <c r="B10" s="14">
        <v>0.95</v>
      </c>
      <c r="C10" t="s">
        <v>138</v>
      </c>
      <c r="D10" t="s">
        <v>151</v>
      </c>
      <c r="E10" t="s">
        <v>152</v>
      </c>
    </row>
    <row r="11" spans="1:5" x14ac:dyDescent="0.2">
      <c r="A11" s="4" t="s">
        <v>153</v>
      </c>
      <c r="B11" s="14">
        <v>1.05</v>
      </c>
      <c r="C11" t="s">
        <v>138</v>
      </c>
      <c r="D11" t="s">
        <v>154</v>
      </c>
      <c r="E11" t="s">
        <v>155</v>
      </c>
    </row>
    <row r="12" spans="1:5" x14ac:dyDescent="0.2">
      <c r="A12" s="4" t="s">
        <v>156</v>
      </c>
      <c r="B12" s="14">
        <v>0.79</v>
      </c>
      <c r="C12" t="s">
        <v>138</v>
      </c>
      <c r="D12" t="s">
        <v>145</v>
      </c>
      <c r="E12" t="s">
        <v>157</v>
      </c>
    </row>
    <row r="13" spans="1:5" x14ac:dyDescent="0.2">
      <c r="A13" s="3" t="s">
        <v>158</v>
      </c>
      <c r="B13" s="14">
        <v>0</v>
      </c>
      <c r="C13" t="s">
        <v>138</v>
      </c>
      <c r="D13" t="s">
        <v>159</v>
      </c>
      <c r="E13" t="s">
        <v>160</v>
      </c>
    </row>
    <row r="14" spans="1:5" x14ac:dyDescent="0.2">
      <c r="A14" s="3" t="s">
        <v>161</v>
      </c>
      <c r="B14" s="14">
        <v>0</v>
      </c>
      <c r="C14" t="s">
        <v>138</v>
      </c>
      <c r="D14" t="s">
        <v>159</v>
      </c>
      <c r="E14" t="s">
        <v>160</v>
      </c>
    </row>
    <row r="15" spans="1:5" x14ac:dyDescent="0.2">
      <c r="A15" s="3" t="s">
        <v>162</v>
      </c>
      <c r="B15" s="14">
        <v>0</v>
      </c>
      <c r="C15" t="s">
        <v>138</v>
      </c>
      <c r="D15" t="s">
        <v>159</v>
      </c>
      <c r="E15" t="s">
        <v>160</v>
      </c>
    </row>
    <row r="17" spans="1:6" x14ac:dyDescent="0.2">
      <c r="A17" s="15" t="s">
        <v>163</v>
      </c>
      <c r="B17" s="35" t="s">
        <v>164</v>
      </c>
      <c r="C17" s="24"/>
      <c r="D17" s="24"/>
      <c r="E17" s="24"/>
    </row>
    <row r="20" spans="1:6" ht="16" x14ac:dyDescent="0.2">
      <c r="A20" s="34" t="s">
        <v>165</v>
      </c>
      <c r="B20" s="24"/>
      <c r="C20" s="24"/>
      <c r="D20" s="24"/>
      <c r="E20" s="24"/>
    </row>
    <row r="21" spans="1:6" x14ac:dyDescent="0.2">
      <c r="A21" s="29" t="s">
        <v>166</v>
      </c>
      <c r="B21" s="24"/>
      <c r="C21" s="24"/>
      <c r="D21" s="24"/>
      <c r="E21" s="24"/>
    </row>
    <row r="23" spans="1:6" x14ac:dyDescent="0.2">
      <c r="A23" s="5" t="s">
        <v>167</v>
      </c>
      <c r="B23" s="5" t="s">
        <v>168</v>
      </c>
      <c r="C23" s="5" t="s">
        <v>135</v>
      </c>
      <c r="D23" s="5" t="s">
        <v>169</v>
      </c>
      <c r="E23" s="5" t="s">
        <v>170</v>
      </c>
    </row>
    <row r="24" spans="1:6" x14ac:dyDescent="0.2">
      <c r="A24" s="3" t="s">
        <v>171</v>
      </c>
      <c r="B24" s="16">
        <v>0</v>
      </c>
      <c r="C24" t="s">
        <v>172</v>
      </c>
      <c r="D24" t="s">
        <v>173</v>
      </c>
      <c r="E24" t="s">
        <v>174</v>
      </c>
    </row>
    <row r="25" spans="1:6" x14ac:dyDescent="0.2">
      <c r="A25" t="s">
        <v>175</v>
      </c>
      <c r="B25" s="10">
        <v>25</v>
      </c>
      <c r="C25" t="s">
        <v>172</v>
      </c>
      <c r="D25" t="s">
        <v>176</v>
      </c>
      <c r="E25" t="s">
        <v>177</v>
      </c>
    </row>
    <row r="26" spans="1:6" x14ac:dyDescent="0.2">
      <c r="A26" t="s">
        <v>178</v>
      </c>
      <c r="B26" s="10">
        <v>50</v>
      </c>
      <c r="C26" t="s">
        <v>172</v>
      </c>
      <c r="D26" t="s">
        <v>179</v>
      </c>
      <c r="E26" t="s">
        <v>180</v>
      </c>
    </row>
    <row r="27" spans="1:6" x14ac:dyDescent="0.2">
      <c r="A27" t="s">
        <v>181</v>
      </c>
      <c r="B27" s="10">
        <v>75</v>
      </c>
      <c r="C27" t="s">
        <v>172</v>
      </c>
      <c r="D27" t="s">
        <v>182</v>
      </c>
      <c r="E27" t="s">
        <v>183</v>
      </c>
    </row>
    <row r="28" spans="1:6" x14ac:dyDescent="0.2">
      <c r="A28" t="s">
        <v>184</v>
      </c>
      <c r="B28" s="10">
        <v>100</v>
      </c>
      <c r="C28" t="s">
        <v>172</v>
      </c>
      <c r="D28" t="s">
        <v>185</v>
      </c>
      <c r="E28" t="s">
        <v>186</v>
      </c>
    </row>
    <row r="29" spans="1:6" x14ac:dyDescent="0.2">
      <c r="A29" t="s">
        <v>187</v>
      </c>
      <c r="B29" s="17"/>
      <c r="C29" t="s">
        <v>172</v>
      </c>
      <c r="D29" t="s">
        <v>188</v>
      </c>
      <c r="E29" t="s">
        <v>189</v>
      </c>
    </row>
    <row r="32" spans="1:6" ht="16" x14ac:dyDescent="0.2">
      <c r="A32" s="34" t="s">
        <v>190</v>
      </c>
      <c r="B32" s="24"/>
      <c r="C32" s="24"/>
      <c r="D32" s="24"/>
      <c r="E32" s="24"/>
      <c r="F32" s="24"/>
    </row>
    <row r="33" spans="1:6" x14ac:dyDescent="0.2">
      <c r="A33" s="29" t="s">
        <v>191</v>
      </c>
      <c r="B33" s="24"/>
      <c r="C33" s="24"/>
      <c r="D33" s="24"/>
      <c r="E33" s="24"/>
      <c r="F33" s="24"/>
    </row>
    <row r="35" spans="1:6" x14ac:dyDescent="0.2">
      <c r="A35" s="9" t="s">
        <v>192</v>
      </c>
      <c r="B35" s="18">
        <v>50</v>
      </c>
      <c r="C35" s="3" t="s">
        <v>172</v>
      </c>
      <c r="D35" s="29" t="s">
        <v>193</v>
      </c>
      <c r="E35" s="24"/>
      <c r="F35" s="24"/>
    </row>
    <row r="37" spans="1:6" x14ac:dyDescent="0.2">
      <c r="A37" s="5" t="s">
        <v>133</v>
      </c>
      <c r="B37" s="5" t="s">
        <v>194</v>
      </c>
      <c r="C37" s="5" t="s">
        <v>134</v>
      </c>
      <c r="D37" s="5" t="s">
        <v>195</v>
      </c>
      <c r="E37" s="5" t="s">
        <v>196</v>
      </c>
      <c r="F37" s="5" t="s">
        <v>197</v>
      </c>
    </row>
    <row r="38" spans="1:6" x14ac:dyDescent="0.2">
      <c r="A38" s="3" t="s">
        <v>198</v>
      </c>
      <c r="B38" s="16">
        <v>152</v>
      </c>
      <c r="C38" s="19">
        <v>0.49</v>
      </c>
      <c r="D38" s="20">
        <f>$B$35*C38</f>
        <v>24.5</v>
      </c>
      <c r="E38" s="20">
        <f>B38+D38</f>
        <v>176.5</v>
      </c>
      <c r="F38" s="20">
        <f>E38-B38</f>
        <v>24.5</v>
      </c>
    </row>
    <row r="39" spans="1:6" x14ac:dyDescent="0.2">
      <c r="A39" s="3" t="s">
        <v>199</v>
      </c>
      <c r="B39" s="16">
        <v>118</v>
      </c>
      <c r="C39" s="19">
        <v>0.41</v>
      </c>
      <c r="D39" s="20">
        <f>$B$35*C39</f>
        <v>20.5</v>
      </c>
      <c r="E39" s="20">
        <f>B39+D39</f>
        <v>138.5</v>
      </c>
      <c r="F39" s="20">
        <f>E39-B39</f>
        <v>20.5</v>
      </c>
    </row>
    <row r="40" spans="1:6" x14ac:dyDescent="0.2">
      <c r="A40" s="3" t="s">
        <v>200</v>
      </c>
      <c r="B40" s="16">
        <v>75</v>
      </c>
      <c r="C40" s="19">
        <v>0.3</v>
      </c>
      <c r="D40" s="20">
        <f>$B$35*C40</f>
        <v>15</v>
      </c>
      <c r="E40" s="20">
        <f>B40+D40</f>
        <v>90</v>
      </c>
      <c r="F40" s="20">
        <f>E40-B40</f>
        <v>15</v>
      </c>
    </row>
    <row r="41" spans="1:6" x14ac:dyDescent="0.2">
      <c r="A41" s="3" t="s">
        <v>201</v>
      </c>
      <c r="B41" s="16">
        <v>58</v>
      </c>
      <c r="C41" s="19">
        <v>0.95</v>
      </c>
      <c r="D41" s="20">
        <f>$B$35*C41</f>
        <v>47.5</v>
      </c>
      <c r="E41" s="20">
        <f>B41+D41</f>
        <v>105.5</v>
      </c>
      <c r="F41" s="20">
        <f>E41-B41</f>
        <v>47.5</v>
      </c>
    </row>
    <row r="42" spans="1:6" x14ac:dyDescent="0.2">
      <c r="A42" s="3" t="s">
        <v>202</v>
      </c>
      <c r="B42" s="16">
        <v>0</v>
      </c>
      <c r="C42" s="19">
        <v>0</v>
      </c>
      <c r="D42" s="20">
        <f>$B$35*C42</f>
        <v>0</v>
      </c>
      <c r="E42" s="20">
        <f>B42+D42</f>
        <v>0</v>
      </c>
      <c r="F42" s="20">
        <f>E42-B42</f>
        <v>0</v>
      </c>
    </row>
    <row r="44" spans="1:6" x14ac:dyDescent="0.2">
      <c r="A44" s="8" t="s">
        <v>203</v>
      </c>
      <c r="B44" s="30" t="s">
        <v>204</v>
      </c>
      <c r="C44" s="24"/>
      <c r="D44" s="24"/>
      <c r="E44" s="24"/>
      <c r="F44" s="24"/>
    </row>
    <row r="45" spans="1:6" x14ac:dyDescent="0.2">
      <c r="A45" s="29" t="s">
        <v>205</v>
      </c>
      <c r="B45" s="24"/>
      <c r="C45" s="24"/>
      <c r="D45" s="24"/>
      <c r="E45" s="24"/>
      <c r="F45" s="24"/>
    </row>
    <row r="48" spans="1:6" ht="16" x14ac:dyDescent="0.2">
      <c r="A48" s="34" t="s">
        <v>206</v>
      </c>
      <c r="B48" s="24"/>
      <c r="C48" s="24"/>
      <c r="D48" s="24"/>
      <c r="E48" s="24"/>
    </row>
    <row r="50" spans="1:5" x14ac:dyDescent="0.2">
      <c r="A50" s="5" t="s">
        <v>167</v>
      </c>
      <c r="B50" s="5" t="s">
        <v>207</v>
      </c>
      <c r="C50" s="5" t="s">
        <v>208</v>
      </c>
      <c r="D50" s="5" t="s">
        <v>209</v>
      </c>
      <c r="E50" s="5" t="s">
        <v>210</v>
      </c>
    </row>
    <row r="52" spans="1:5" x14ac:dyDescent="0.2">
      <c r="A52" s="3" t="s">
        <v>211</v>
      </c>
      <c r="B52">
        <v>2018</v>
      </c>
      <c r="C52" s="21" t="s">
        <v>212</v>
      </c>
      <c r="D52" s="22">
        <v>32000000</v>
      </c>
      <c r="E52" s="13">
        <f>D52</f>
        <v>32000000</v>
      </c>
    </row>
    <row r="53" spans="1:5" x14ac:dyDescent="0.2">
      <c r="A53" s="3" t="s">
        <v>213</v>
      </c>
      <c r="B53">
        <v>2030</v>
      </c>
      <c r="C53" s="21" t="s">
        <v>214</v>
      </c>
      <c r="D53" s="13">
        <f>D52</f>
        <v>32000000</v>
      </c>
      <c r="E53" s="13">
        <f>D52*0.5</f>
        <v>16000000</v>
      </c>
    </row>
    <row r="54" spans="1:5" x14ac:dyDescent="0.2">
      <c r="A54" s="3" t="s">
        <v>215</v>
      </c>
      <c r="B54">
        <v>2030</v>
      </c>
      <c r="C54" s="21" t="s">
        <v>214</v>
      </c>
      <c r="D54" s="13">
        <f>D52</f>
        <v>32000000</v>
      </c>
      <c r="E54" s="13">
        <f>D52*0.5</f>
        <v>16000000</v>
      </c>
    </row>
    <row r="55" spans="1:5" x14ac:dyDescent="0.2">
      <c r="A55" s="3" t="s">
        <v>216</v>
      </c>
      <c r="B55">
        <v>2040</v>
      </c>
      <c r="C55" s="21" t="s">
        <v>217</v>
      </c>
      <c r="D55" s="13">
        <f>D52</f>
        <v>32000000</v>
      </c>
      <c r="E55" s="13">
        <f>D52*0.2</f>
        <v>6400000</v>
      </c>
    </row>
    <row r="56" spans="1:5" x14ac:dyDescent="0.2">
      <c r="A56" s="3" t="s">
        <v>218</v>
      </c>
      <c r="B56">
        <v>2050</v>
      </c>
      <c r="C56" s="21" t="s">
        <v>219</v>
      </c>
      <c r="D56" s="13">
        <f>D52</f>
        <v>32000000</v>
      </c>
      <c r="E56" s="13">
        <f>D52*0.05</f>
        <v>1600000</v>
      </c>
    </row>
    <row r="58" spans="1:5" x14ac:dyDescent="0.2">
      <c r="A58" s="29" t="s">
        <v>220</v>
      </c>
      <c r="B58" s="24"/>
      <c r="C58" s="24"/>
      <c r="D58" s="24"/>
      <c r="E58" s="24"/>
    </row>
    <row r="59" spans="1:5" x14ac:dyDescent="0.2">
      <c r="A59" s="33" t="s">
        <v>221</v>
      </c>
      <c r="B59" s="24"/>
      <c r="C59" s="24"/>
      <c r="D59" s="24"/>
      <c r="E59" s="24"/>
    </row>
    <row r="62" spans="1:5" ht="16" x14ac:dyDescent="0.2">
      <c r="A62" s="34" t="s">
        <v>222</v>
      </c>
      <c r="B62" s="24"/>
      <c r="C62" s="24"/>
      <c r="D62" s="24"/>
      <c r="E62" s="24"/>
    </row>
    <row r="64" spans="1:5" x14ac:dyDescent="0.2">
      <c r="A64" s="23" t="s">
        <v>223</v>
      </c>
      <c r="B64" s="32" t="s">
        <v>224</v>
      </c>
      <c r="C64" s="24"/>
      <c r="D64" s="24"/>
      <c r="E64" s="24"/>
    </row>
    <row r="65" spans="1:5" x14ac:dyDescent="0.2">
      <c r="A65" s="23" t="s">
        <v>225</v>
      </c>
      <c r="B65" s="32" t="s">
        <v>226</v>
      </c>
      <c r="C65" s="24"/>
      <c r="D65" s="24"/>
      <c r="E65" s="24"/>
    </row>
    <row r="66" spans="1:5" x14ac:dyDescent="0.2">
      <c r="A66" s="23" t="s">
        <v>227</v>
      </c>
      <c r="B66" s="32" t="s">
        <v>228</v>
      </c>
      <c r="C66" s="24"/>
      <c r="D66" s="24"/>
      <c r="E66" s="24"/>
    </row>
    <row r="67" spans="1:5" x14ac:dyDescent="0.2">
      <c r="A67" s="23" t="s">
        <v>229</v>
      </c>
      <c r="B67" s="32" t="s">
        <v>230</v>
      </c>
      <c r="C67" s="24"/>
      <c r="D67" s="24"/>
      <c r="E67" s="24"/>
    </row>
  </sheetData>
  <mergeCells count="19">
    <mergeCell ref="B67:E67"/>
    <mergeCell ref="B17:E17"/>
    <mergeCell ref="A4:E4"/>
    <mergeCell ref="A62:E62"/>
    <mergeCell ref="A20:E20"/>
    <mergeCell ref="A45:F45"/>
    <mergeCell ref="A58:E58"/>
    <mergeCell ref="B66:E66"/>
    <mergeCell ref="A21:E21"/>
    <mergeCell ref="B44:F44"/>
    <mergeCell ref="A2:E2"/>
    <mergeCell ref="D35:F35"/>
    <mergeCell ref="A59:E59"/>
    <mergeCell ref="A48:E48"/>
    <mergeCell ref="B65:E65"/>
    <mergeCell ref="B64:E64"/>
    <mergeCell ref="A1:E1"/>
    <mergeCell ref="A33:F33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Solar_CF</vt:lpstr>
      <vt:lpstr>Wind_CF</vt:lpstr>
      <vt:lpstr>Hydro_Availability</vt:lpstr>
      <vt:lpstr>Import_Prices</vt:lpstr>
      <vt:lpstr>CO2_Emissions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Bobojanov, Shakhrukh - (shakhrukhb)</cp:lastModifiedBy>
  <dcterms:created xsi:type="dcterms:W3CDTF">2026-01-09T06:06:48Z</dcterms:created>
  <dcterms:modified xsi:type="dcterms:W3CDTF">2026-01-09T07:39:07Z</dcterms:modified>
</cp:coreProperties>
</file>