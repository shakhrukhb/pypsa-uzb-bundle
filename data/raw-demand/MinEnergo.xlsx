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.bobojanov/Desktop/"/>
    </mc:Choice>
  </mc:AlternateContent>
  <xr:revisionPtr revIDLastSave="0" documentId="8_{128C5685-52B4-E746-9D7B-698AE237DEF4}" xr6:coauthVersionLast="47" xr6:coauthVersionMax="47" xr10:uidLastSave="{00000000-0000-0000-0000-000000000000}"/>
  <bookViews>
    <workbookView xWindow="9180" yWindow="4600" windowWidth="27240" windowHeight="16440" xr2:uid="{D414CFD2-A782-BA4B-BAB0-9ED0FE4530CB}"/>
  </bookViews>
  <sheets>
    <sheet name="POWER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G4" i="1"/>
  <c r="H4" i="1"/>
  <c r="I4" i="1"/>
  <c r="C5" i="1"/>
  <c r="F5" i="1"/>
  <c r="C6" i="1"/>
  <c r="C169" i="1" s="1"/>
  <c r="G6" i="1"/>
  <c r="H6" i="1"/>
  <c r="I6" i="1"/>
  <c r="J6" i="1"/>
  <c r="K6" i="1"/>
  <c r="K169" i="1" s="1"/>
  <c r="C7" i="1"/>
  <c r="D7" i="1"/>
  <c r="E7" i="1"/>
  <c r="F7" i="1"/>
  <c r="G7" i="1"/>
  <c r="H7" i="1"/>
  <c r="I7" i="1"/>
  <c r="J7" i="1"/>
  <c r="K7" i="1"/>
  <c r="L7" i="1"/>
  <c r="M7" i="1"/>
  <c r="C8" i="1"/>
  <c r="D8" i="1"/>
  <c r="E8" i="1"/>
  <c r="I8" i="1"/>
  <c r="J8" i="1"/>
  <c r="K8" i="1"/>
  <c r="L8" i="1"/>
  <c r="M8" i="1"/>
  <c r="C9" i="1"/>
  <c r="D9" i="1"/>
  <c r="E9" i="1"/>
  <c r="F9" i="1"/>
  <c r="G9" i="1"/>
  <c r="H9" i="1"/>
  <c r="I9" i="1"/>
  <c r="J9" i="1"/>
  <c r="K9" i="1"/>
  <c r="L9" i="1"/>
  <c r="M9" i="1"/>
  <c r="E10" i="1"/>
  <c r="F10" i="1"/>
  <c r="G10" i="1"/>
  <c r="M10" i="1"/>
  <c r="C11" i="1"/>
  <c r="D11" i="1"/>
  <c r="E11" i="1"/>
  <c r="F11" i="1"/>
  <c r="G11" i="1"/>
  <c r="H11" i="1"/>
  <c r="I11" i="1"/>
  <c r="J11" i="1"/>
  <c r="K11" i="1"/>
  <c r="L11" i="1"/>
  <c r="M11" i="1"/>
  <c r="C12" i="1"/>
  <c r="D12" i="1"/>
  <c r="E12" i="1"/>
  <c r="F12" i="1"/>
  <c r="G12" i="1"/>
  <c r="H12" i="1"/>
  <c r="I12" i="1"/>
  <c r="J12" i="1"/>
  <c r="K12" i="1"/>
  <c r="L12" i="1"/>
  <c r="M12" i="1"/>
  <c r="C13" i="1"/>
  <c r="D13" i="1"/>
  <c r="E13" i="1"/>
  <c r="F13" i="1"/>
  <c r="G13" i="1"/>
  <c r="H13" i="1"/>
  <c r="I13" i="1"/>
  <c r="J13" i="1"/>
  <c r="K13" i="1"/>
  <c r="L13" i="1"/>
  <c r="M13" i="1"/>
  <c r="C14" i="1"/>
  <c r="D14" i="1"/>
  <c r="E14" i="1"/>
  <c r="F14" i="1"/>
  <c r="G14" i="1"/>
  <c r="H14" i="1"/>
  <c r="I14" i="1"/>
  <c r="J14" i="1"/>
  <c r="K14" i="1"/>
  <c r="L14" i="1"/>
  <c r="M14" i="1"/>
  <c r="C36" i="1"/>
  <c r="D36" i="1"/>
  <c r="D59" i="1" s="1"/>
  <c r="E36" i="1"/>
  <c r="E59" i="1" s="1"/>
  <c r="F36" i="1"/>
  <c r="F59" i="1" s="1"/>
  <c r="G36" i="1"/>
  <c r="G59" i="1" s="1"/>
  <c r="H36" i="1"/>
  <c r="H59" i="1" s="1"/>
  <c r="I36" i="1"/>
  <c r="J36" i="1"/>
  <c r="K36" i="1"/>
  <c r="L36" i="1"/>
  <c r="L59" i="1" s="1"/>
  <c r="M36" i="1"/>
  <c r="M59" i="1" s="1"/>
  <c r="C57" i="1"/>
  <c r="C4" i="1" s="1"/>
  <c r="D57" i="1"/>
  <c r="D4" i="1" s="1"/>
  <c r="E57" i="1"/>
  <c r="E6" i="1" s="1"/>
  <c r="E169" i="1" s="1"/>
  <c r="F57" i="1"/>
  <c r="F6" i="1" s="1"/>
  <c r="F169" i="1" s="1"/>
  <c r="G57" i="1"/>
  <c r="H57" i="1"/>
  <c r="I57" i="1"/>
  <c r="J57" i="1"/>
  <c r="J5" i="1" s="1"/>
  <c r="K57" i="1"/>
  <c r="K4" i="1" s="1"/>
  <c r="L57" i="1"/>
  <c r="L4" i="1" s="1"/>
  <c r="M57" i="1"/>
  <c r="M6" i="1" s="1"/>
  <c r="M169" i="1" s="1"/>
  <c r="I59" i="1"/>
  <c r="J59" i="1"/>
  <c r="C77" i="1"/>
  <c r="C88" i="1" s="1"/>
  <c r="D77" i="1"/>
  <c r="D88" i="1" s="1"/>
  <c r="E77" i="1"/>
  <c r="E88" i="1" s="1"/>
  <c r="F77" i="1"/>
  <c r="F8" i="1" s="1"/>
  <c r="G77" i="1"/>
  <c r="G8" i="1" s="1"/>
  <c r="H77" i="1"/>
  <c r="H5" i="1" s="1"/>
  <c r="I77" i="1"/>
  <c r="I5" i="1" s="1"/>
  <c r="J77" i="1"/>
  <c r="K77" i="1"/>
  <c r="K88" i="1" s="1"/>
  <c r="L77" i="1"/>
  <c r="L88" i="1" s="1"/>
  <c r="M77" i="1"/>
  <c r="M88" i="1" s="1"/>
  <c r="C86" i="1"/>
  <c r="C10" i="1" s="1"/>
  <c r="D86" i="1"/>
  <c r="D10" i="1" s="1"/>
  <c r="E86" i="1"/>
  <c r="F86" i="1"/>
  <c r="G86" i="1"/>
  <c r="H86" i="1"/>
  <c r="H10" i="1" s="1"/>
  <c r="I86" i="1"/>
  <c r="I10" i="1" s="1"/>
  <c r="J86" i="1"/>
  <c r="J10" i="1" s="1"/>
  <c r="K86" i="1"/>
  <c r="K10" i="1" s="1"/>
  <c r="L86" i="1"/>
  <c r="L10" i="1" s="1"/>
  <c r="M86" i="1"/>
  <c r="H88" i="1"/>
  <c r="I88" i="1"/>
  <c r="C107" i="1"/>
  <c r="D107" i="1"/>
  <c r="E107" i="1"/>
  <c r="F107" i="1"/>
  <c r="G107" i="1"/>
  <c r="H107" i="1"/>
  <c r="I107" i="1"/>
  <c r="J107" i="1"/>
  <c r="K107" i="1"/>
  <c r="L107" i="1"/>
  <c r="M107" i="1"/>
  <c r="C125" i="1"/>
  <c r="D125" i="1"/>
  <c r="E125" i="1"/>
  <c r="F125" i="1"/>
  <c r="G125" i="1"/>
  <c r="H125" i="1"/>
  <c r="I125" i="1"/>
  <c r="J125" i="1"/>
  <c r="K125" i="1"/>
  <c r="L125" i="1"/>
  <c r="M125" i="1"/>
  <c r="C143" i="1"/>
  <c r="D143" i="1"/>
  <c r="E143" i="1"/>
  <c r="F143" i="1"/>
  <c r="G143" i="1"/>
  <c r="H143" i="1"/>
  <c r="I143" i="1"/>
  <c r="J143" i="1"/>
  <c r="K143" i="1"/>
  <c r="L143" i="1"/>
  <c r="M143" i="1"/>
  <c r="C156" i="1"/>
  <c r="D156" i="1"/>
  <c r="E156" i="1"/>
  <c r="F156" i="1"/>
  <c r="G156" i="1"/>
  <c r="H156" i="1"/>
  <c r="I156" i="1"/>
  <c r="J156" i="1"/>
  <c r="K156" i="1"/>
  <c r="L156" i="1"/>
  <c r="M156" i="1"/>
  <c r="G169" i="1"/>
  <c r="H169" i="1"/>
  <c r="I169" i="1"/>
  <c r="J169" i="1"/>
  <c r="M5" i="1" l="1"/>
  <c r="D5" i="1"/>
  <c r="F88" i="1"/>
  <c r="J88" i="1"/>
  <c r="K59" i="1"/>
  <c r="C59" i="1"/>
  <c r="L6" i="1"/>
  <c r="L169" i="1" s="1"/>
  <c r="D6" i="1"/>
  <c r="D169" i="1" s="1"/>
  <c r="G5" i="1"/>
  <c r="J4" i="1"/>
  <c r="M4" i="1"/>
  <c r="E4" i="1"/>
  <c r="L5" i="1"/>
  <c r="K5" i="1"/>
  <c r="H8" i="1"/>
  <c r="E5" i="1"/>
  <c r="G88" i="1"/>
</calcChain>
</file>

<file path=xl/sharedStrings.xml><?xml version="1.0" encoding="utf-8"?>
<sst xmlns="http://schemas.openxmlformats.org/spreadsheetml/2006/main" count="310" uniqueCount="104">
  <si>
    <t>EJ</t>
  </si>
  <si>
    <t>Final power delivered domestically (including T&amp;D losses)</t>
  </si>
  <si>
    <t>Electricity exports</t>
  </si>
  <si>
    <t>Electricity imports</t>
  </si>
  <si>
    <t>Electricity balance</t>
  </si>
  <si>
    <t>Mtonnes</t>
  </si>
  <si>
    <t>Biomass - type 3</t>
  </si>
  <si>
    <t>Biomass - type 2</t>
  </si>
  <si>
    <t>Biomass - type 1 (ex: bagasse)</t>
  </si>
  <si>
    <t>Uranium</t>
  </si>
  <si>
    <t>Liquid biofuels</t>
  </si>
  <si>
    <t>Fossil liquid fuel products</t>
  </si>
  <si>
    <t>Biogas</t>
  </si>
  <si>
    <t>Fossil natural gas</t>
  </si>
  <si>
    <t>Coal</t>
  </si>
  <si>
    <t>TOTAL</t>
  </si>
  <si>
    <t>Others</t>
  </si>
  <si>
    <t>Feedstocks for electricity production, by  type</t>
  </si>
  <si>
    <t>Primary energies</t>
  </si>
  <si>
    <t>GW</t>
  </si>
  <si>
    <t>Other renewables</t>
  </si>
  <si>
    <t>Geothermal</t>
  </si>
  <si>
    <t>Biomass w/CCS</t>
  </si>
  <si>
    <t>Biomass w/oCCS</t>
  </si>
  <si>
    <t>Solar (small distributed solar)</t>
  </si>
  <si>
    <t>Solar (utility)</t>
  </si>
  <si>
    <t>Wind</t>
  </si>
  <si>
    <t>Hydro</t>
  </si>
  <si>
    <t>Nuclear (&lt;300MW)</t>
  </si>
  <si>
    <t>Nuclear (large)</t>
  </si>
  <si>
    <t>Liquids w/CCS</t>
  </si>
  <si>
    <t>Liquids w/o CCS</t>
  </si>
  <si>
    <t>Gas w/ CCS</t>
  </si>
  <si>
    <t>Gas w/o CCS</t>
  </si>
  <si>
    <t>Coal w/ CCS</t>
  </si>
  <si>
    <t>Coal w/o CCS</t>
  </si>
  <si>
    <t>Removed capacities for the period (X-10; X)</t>
  </si>
  <si>
    <t>New installed capacities for the period (X-10; X)</t>
  </si>
  <si>
    <t>Total Installed capacities (stock) in the year X</t>
  </si>
  <si>
    <t xml:space="preserve">Power capacities </t>
  </si>
  <si>
    <t>Mt CO2e</t>
  </si>
  <si>
    <t>TOTAL net-GHG emissions</t>
  </si>
  <si>
    <t>Net GHG emissions</t>
  </si>
  <si>
    <r>
      <t xml:space="preserve">MtCO2 captured &amp; stored </t>
    </r>
    <r>
      <rPr>
        <i/>
        <sz val="11"/>
        <rFont val="Aptos Narrow"/>
        <family val="2"/>
        <scheme val="minor"/>
      </rPr>
      <t>(positive values)</t>
    </r>
  </si>
  <si>
    <t>TOTAL CO2 captured and stored</t>
  </si>
  <si>
    <t>others CCS (please specify in the storyline)</t>
  </si>
  <si>
    <t>from biomass fired PP w/CCS</t>
  </si>
  <si>
    <t>from liquid fuel fired PP w/CCS</t>
  </si>
  <si>
    <t>from gas fired PP w/CCS</t>
  </si>
  <si>
    <t>from coal fired PP w/CCS</t>
  </si>
  <si>
    <t>Estimated CO2 captured and stored</t>
  </si>
  <si>
    <t>Total non-CO2 emissions</t>
  </si>
  <si>
    <t>Non-CO2 emissions from fuel combustion - without counting CCS</t>
  </si>
  <si>
    <t>Mt CO2</t>
  </si>
  <si>
    <t>TOTAL CO2 produced</t>
  </si>
  <si>
    <t xml:space="preserve">Mt CO2 </t>
  </si>
  <si>
    <t>CO2 emissions from fuel combustion by  type - without counting CCS</t>
  </si>
  <si>
    <t>% of electricity production</t>
  </si>
  <si>
    <t>Transmission and distribution losses</t>
  </si>
  <si>
    <t>Power transmission &amp; distribution losses</t>
  </si>
  <si>
    <t>TWh</t>
  </si>
  <si>
    <t>Electricity production by  type</t>
  </si>
  <si>
    <t>Electricity supply and emissions (including self-consumption)</t>
  </si>
  <si>
    <t>Power peak</t>
  </si>
  <si>
    <t>Other energy industries (refining, energy conversion activities…)</t>
  </si>
  <si>
    <t>Extractive energy industries (Coal, Crude oil, Natural Gas)</t>
  </si>
  <si>
    <t>Power (self-consumption)</t>
  </si>
  <si>
    <t>Agriculture</t>
  </si>
  <si>
    <t>Industry (light industry)</t>
  </si>
  <si>
    <r>
      <t xml:space="preserve">Industry </t>
    </r>
    <r>
      <rPr>
        <sz val="11"/>
        <rFont val="Calibri (Body)_x0000_"/>
      </rPr>
      <t>(EII)</t>
    </r>
  </si>
  <si>
    <t>Commercial buidlings</t>
  </si>
  <si>
    <t>Residential buildings</t>
  </si>
  <si>
    <t>Freight Transport</t>
  </si>
  <si>
    <t>Passenger Transport</t>
  </si>
  <si>
    <t>By consumption sector</t>
  </si>
  <si>
    <t>Electricity demand</t>
  </si>
  <si>
    <t>Thousands of households</t>
  </si>
  <si>
    <t>Household size</t>
  </si>
  <si>
    <t>%</t>
  </si>
  <si>
    <t>Share of the population with electricity access</t>
  </si>
  <si>
    <t>Millions inhabitants</t>
  </si>
  <si>
    <t>Population</t>
  </si>
  <si>
    <t>Bn 2015 USD</t>
  </si>
  <si>
    <t>GDP - Energy industries (power, extractive energy industries &amp; other energy industries)</t>
  </si>
  <si>
    <t>Socio-economic indicators</t>
  </si>
  <si>
    <t>Unit</t>
  </si>
  <si>
    <t>Variable</t>
  </si>
  <si>
    <t>-of which from biomass power plants</t>
  </si>
  <si>
    <t>- of which from liquid fuel power plants</t>
  </si>
  <si>
    <t>- of which from gas power plants</t>
  </si>
  <si>
    <t>- of which from coal power plants</t>
  </si>
  <si>
    <t>MtCO2e</t>
  </si>
  <si>
    <t>Total non-CO2 emissions of power generation</t>
  </si>
  <si>
    <t>MtCO2</t>
  </si>
  <si>
    <t>Total CO2 emissions of power generation</t>
  </si>
  <si>
    <t xml:space="preserve">TWh </t>
  </si>
  <si>
    <t>Energy consumption of power generation (self-consumption)</t>
  </si>
  <si>
    <t>Electricity production (including distribution losses)</t>
  </si>
  <si>
    <t xml:space="preserve">gCO2/kWh </t>
  </si>
  <si>
    <t>CO2 emissions per electricity unit produced</t>
  </si>
  <si>
    <t>kWh /2015 USD</t>
  </si>
  <si>
    <t>Electricity produced per "GDP-Energy industries" unit</t>
  </si>
  <si>
    <t>Extract of the Economy-wide DB TAB relevant rows for this sub-sector</t>
  </si>
  <si>
    <t>POWER GENERATION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</si>
</sst>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name val="Aptos Narrow"/>
      <family val="2"/>
      <scheme val="minor"/>
    </font>
    <font>
      <sz val="11"/>
      <name val="Calibri (Body)_x0000_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2" fillId="3" borderId="0" xfId="0" applyFont="1" applyFill="1"/>
    <xf numFmtId="0" fontId="0" fillId="4" borderId="0" xfId="0" applyFill="1"/>
    <xf numFmtId="0" fontId="3" fillId="5" borderId="0" xfId="0" applyFont="1" applyFill="1"/>
    <xf numFmtId="0" fontId="3" fillId="6" borderId="0" xfId="0" applyFont="1" applyFill="1"/>
    <xf numFmtId="0" fontId="0" fillId="3" borderId="0" xfId="0" applyFill="1"/>
    <xf numFmtId="0" fontId="2" fillId="3" borderId="0" xfId="0" quotePrefix="1" applyFont="1" applyFill="1"/>
    <xf numFmtId="0" fontId="6" fillId="0" borderId="1" xfId="0" applyFont="1" applyBorder="1" applyAlignment="1">
      <alignment wrapText="1"/>
    </xf>
    <xf numFmtId="0" fontId="6" fillId="0" borderId="1" xfId="0" applyFont="1" applyBorder="1"/>
    <xf numFmtId="0" fontId="7" fillId="7" borderId="0" xfId="0" applyFont="1" applyFill="1"/>
    <xf numFmtId="0" fontId="7" fillId="8" borderId="0" xfId="0" applyFont="1" applyFill="1"/>
    <xf numFmtId="0" fontId="2" fillId="2" borderId="0" xfId="0" applyFont="1" applyFill="1"/>
    <xf numFmtId="0" fontId="0" fillId="3" borderId="0" xfId="0" quotePrefix="1" applyFill="1"/>
    <xf numFmtId="0" fontId="0" fillId="3" borderId="0" xfId="0" applyFill="1" applyAlignment="1">
      <alignment horizontal="left" wrapText="1"/>
    </xf>
    <xf numFmtId="0" fontId="3" fillId="8" borderId="0" xfId="0" applyFont="1" applyFill="1"/>
    <xf numFmtId="0" fontId="1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1CC8D-7B12-4641-BB14-C18F7721EA5E}">
  <sheetPr>
    <tabColor theme="9" tint="-0.499984740745262"/>
  </sheetPr>
  <dimension ref="A1:M169"/>
  <sheetViews>
    <sheetView tabSelected="1" zoomScale="90" zoomScaleNormal="90" workbookViewId="0">
      <selection activeCell="A9" sqref="A9"/>
    </sheetView>
  </sheetViews>
  <sheetFormatPr baseColWidth="10" defaultRowHeight="15"/>
  <cols>
    <col min="1" max="1" width="77.5" customWidth="1"/>
    <col min="2" max="2" width="36.5" customWidth="1"/>
    <col min="4" max="4" width="12.5" bestFit="1" customWidth="1"/>
    <col min="9" max="13" width="10.83203125" customWidth="1"/>
  </cols>
  <sheetData>
    <row r="1" spans="1:13" ht="16">
      <c r="A1" s="16" t="s">
        <v>103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>
      <c r="A2" s="10"/>
      <c r="B2" s="10"/>
      <c r="C2" s="10"/>
      <c r="D2" s="10"/>
      <c r="E2" s="10"/>
      <c r="F2" s="10"/>
      <c r="G2" s="10"/>
      <c r="H2" s="10"/>
      <c r="I2" s="10"/>
    </row>
    <row r="3" spans="1:13">
      <c r="A3" s="15" t="s">
        <v>102</v>
      </c>
      <c r="B3" s="11"/>
      <c r="C3" s="11">
        <v>2014</v>
      </c>
      <c r="D3" s="11">
        <v>2015</v>
      </c>
      <c r="E3" s="11">
        <v>2016</v>
      </c>
      <c r="F3" s="11">
        <v>2017</v>
      </c>
      <c r="G3" s="11">
        <v>2018</v>
      </c>
      <c r="H3" s="11">
        <v>2019</v>
      </c>
      <c r="I3" s="11">
        <v>2020</v>
      </c>
      <c r="J3" s="11">
        <v>2021</v>
      </c>
      <c r="K3" s="11">
        <v>2022</v>
      </c>
      <c r="L3" s="11">
        <v>2023</v>
      </c>
      <c r="M3" s="11">
        <v>2024</v>
      </c>
    </row>
    <row r="4" spans="1:13">
      <c r="A4" s="2" t="s">
        <v>101</v>
      </c>
      <c r="B4" s="2" t="s">
        <v>100</v>
      </c>
      <c r="C4" s="12">
        <f>IFERROR(C57/C20,0)</f>
        <v>0</v>
      </c>
      <c r="D4" s="12">
        <f>IFERROR(D57/D20,0)</f>
        <v>0</v>
      </c>
      <c r="E4" s="12">
        <f>IFERROR(E57/E20,0)</f>
        <v>0</v>
      </c>
      <c r="F4" s="12">
        <f>IFERROR(F57/F20,0)</f>
        <v>0</v>
      </c>
      <c r="G4" s="12">
        <f>IFERROR(G57/G20,0)</f>
        <v>0</v>
      </c>
      <c r="H4" s="12">
        <f>IFERROR(H57/H20,0)</f>
        <v>0</v>
      </c>
      <c r="I4" s="12">
        <f>IFERROR(I57/I20,0)</f>
        <v>0</v>
      </c>
      <c r="J4" s="12">
        <f>IFERROR(J57/J20,0)</f>
        <v>0</v>
      </c>
      <c r="K4" s="12">
        <f>IFERROR(K57/K20,0)</f>
        <v>0</v>
      </c>
      <c r="L4" s="12">
        <f>IFERROR(L57/L20,0)</f>
        <v>0</v>
      </c>
      <c r="M4" s="12">
        <f>IFERROR(M57/M20,0)</f>
        <v>0</v>
      </c>
    </row>
    <row r="5" spans="1:13">
      <c r="A5" s="2" t="s">
        <v>99</v>
      </c>
      <c r="B5" s="2" t="s">
        <v>98</v>
      </c>
      <c r="C5" s="12">
        <f>IFERROR(C77*10^12/(C57*10^9),0)</f>
        <v>0</v>
      </c>
      <c r="D5" s="12">
        <f>IFERROR(D77*10^12/(D57*10^9),0)</f>
        <v>0</v>
      </c>
      <c r="E5" s="12">
        <f>IFERROR(E77*10^12/(E57*10^9),0)</f>
        <v>0</v>
      </c>
      <c r="F5" s="12">
        <f>IFERROR(F77*10^12/(F57*10^9),0)</f>
        <v>0</v>
      </c>
      <c r="G5" s="12">
        <f>IFERROR(G77*10^12/(G57*10^9),0)</f>
        <v>0</v>
      </c>
      <c r="H5" s="12">
        <f>IFERROR(H77*10^12/(H57*10^9),0)</f>
        <v>0</v>
      </c>
      <c r="I5" s="12">
        <f>IFERROR(I77*10^12/(I57*10^9),0)</f>
        <v>0</v>
      </c>
      <c r="J5" s="12">
        <f>IFERROR(J77*10^12/(J57*10^9),0)</f>
        <v>0</v>
      </c>
      <c r="K5" s="12">
        <f>IFERROR(K77*10^12/(K57*10^9),0)</f>
        <v>0</v>
      </c>
      <c r="L5" s="12">
        <f>IFERROR(L77*10^12/(L57*10^9),0)</f>
        <v>0</v>
      </c>
      <c r="M5" s="12">
        <f>IFERROR(M77*10^12/(M57*10^9),0)</f>
        <v>0</v>
      </c>
    </row>
    <row r="6" spans="1:13" ht="16">
      <c r="A6" s="14" t="s">
        <v>97</v>
      </c>
      <c r="B6" s="2" t="s">
        <v>95</v>
      </c>
      <c r="C6" s="12">
        <f>C57</f>
        <v>0</v>
      </c>
      <c r="D6" s="12">
        <f>D57</f>
        <v>0</v>
      </c>
      <c r="E6" s="12">
        <f>E57</f>
        <v>0</v>
      </c>
      <c r="F6" s="12">
        <f>F57</f>
        <v>0</v>
      </c>
      <c r="G6" s="12">
        <f>G57</f>
        <v>0</v>
      </c>
      <c r="H6" s="12">
        <f>H57</f>
        <v>0</v>
      </c>
      <c r="I6" s="12">
        <f>I57</f>
        <v>0</v>
      </c>
      <c r="J6" s="12">
        <f>J57</f>
        <v>0</v>
      </c>
      <c r="K6" s="12">
        <f>K57</f>
        <v>0</v>
      </c>
      <c r="L6" s="12">
        <f>L57</f>
        <v>0</v>
      </c>
      <c r="M6" s="12">
        <f>M57</f>
        <v>0</v>
      </c>
    </row>
    <row r="7" spans="1:13" ht="15" customHeight="1">
      <c r="A7" s="14" t="s">
        <v>96</v>
      </c>
      <c r="B7" s="2" t="s">
        <v>95</v>
      </c>
      <c r="C7" s="12">
        <f>C33</f>
        <v>0</v>
      </c>
      <c r="D7" s="12">
        <f>D33</f>
        <v>0</v>
      </c>
      <c r="E7" s="12">
        <f>E33</f>
        <v>0</v>
      </c>
      <c r="F7" s="12">
        <f>F33</f>
        <v>0</v>
      </c>
      <c r="G7" s="12">
        <f>G33</f>
        <v>0</v>
      </c>
      <c r="H7" s="12">
        <f>H33</f>
        <v>0</v>
      </c>
      <c r="I7" s="12">
        <f>I33</f>
        <v>0</v>
      </c>
      <c r="J7" s="12">
        <f>J33</f>
        <v>0</v>
      </c>
      <c r="K7" s="12">
        <f>K33</f>
        <v>0</v>
      </c>
      <c r="L7" s="12">
        <f>L33</f>
        <v>0</v>
      </c>
      <c r="M7" s="12">
        <f>M33</f>
        <v>0</v>
      </c>
    </row>
    <row r="8" spans="1:13">
      <c r="A8" s="2" t="s">
        <v>94</v>
      </c>
      <c r="B8" s="2" t="s">
        <v>93</v>
      </c>
      <c r="C8" s="12">
        <f>C77</f>
        <v>0</v>
      </c>
      <c r="D8" s="12">
        <f>D77</f>
        <v>0</v>
      </c>
      <c r="E8" s="12">
        <f>E77</f>
        <v>0</v>
      </c>
      <c r="F8" s="12">
        <f>F77</f>
        <v>0</v>
      </c>
      <c r="G8" s="12">
        <f>G77</f>
        <v>0</v>
      </c>
      <c r="H8" s="12">
        <f>H77</f>
        <v>0</v>
      </c>
      <c r="I8" s="12">
        <f>I77</f>
        <v>0</v>
      </c>
      <c r="J8" s="12">
        <f>J77</f>
        <v>0</v>
      </c>
      <c r="K8" s="12">
        <f>K77</f>
        <v>0</v>
      </c>
      <c r="L8" s="12">
        <f>L77</f>
        <v>0</v>
      </c>
      <c r="M8" s="12">
        <f>M77</f>
        <v>0</v>
      </c>
    </row>
    <row r="9" spans="1:13">
      <c r="A9" s="2" t="s">
        <v>92</v>
      </c>
      <c r="B9" s="2" t="s">
        <v>91</v>
      </c>
      <c r="C9" s="12">
        <f>C79</f>
        <v>0</v>
      </c>
      <c r="D9" s="12">
        <f>D79</f>
        <v>0</v>
      </c>
      <c r="E9" s="12">
        <f>E79</f>
        <v>0</v>
      </c>
      <c r="F9" s="12">
        <f>F79</f>
        <v>0</v>
      </c>
      <c r="G9" s="12">
        <f>G79</f>
        <v>0</v>
      </c>
      <c r="H9" s="12">
        <f>H79</f>
        <v>0</v>
      </c>
      <c r="I9" s="12">
        <f>I79</f>
        <v>0</v>
      </c>
      <c r="J9" s="12">
        <f>J79</f>
        <v>0</v>
      </c>
      <c r="K9" s="12">
        <f>K79</f>
        <v>0</v>
      </c>
      <c r="L9" s="12">
        <f>L79</f>
        <v>0</v>
      </c>
      <c r="M9" s="12">
        <f>M79</f>
        <v>0</v>
      </c>
    </row>
    <row r="10" spans="1:13">
      <c r="A10" s="6" t="s">
        <v>44</v>
      </c>
      <c r="B10" s="7" t="s">
        <v>43</v>
      </c>
      <c r="C10" s="12">
        <f>C86</f>
        <v>0</v>
      </c>
      <c r="D10" s="12">
        <f>D86</f>
        <v>0</v>
      </c>
      <c r="E10" s="12">
        <f>E86</f>
        <v>0</v>
      </c>
      <c r="F10" s="12">
        <f>F86</f>
        <v>0</v>
      </c>
      <c r="G10" s="12">
        <f>G86</f>
        <v>0</v>
      </c>
      <c r="H10" s="12">
        <f>H86</f>
        <v>0</v>
      </c>
      <c r="I10" s="12">
        <f>I86</f>
        <v>0</v>
      </c>
      <c r="J10" s="12">
        <f>J86</f>
        <v>0</v>
      </c>
      <c r="K10" s="12">
        <f>K86</f>
        <v>0</v>
      </c>
      <c r="L10" s="12">
        <f>L86</f>
        <v>0</v>
      </c>
      <c r="M10" s="12">
        <f>M86</f>
        <v>0</v>
      </c>
    </row>
    <row r="11" spans="1:13">
      <c r="A11" s="7" t="s">
        <v>90</v>
      </c>
      <c r="B11" s="7" t="s">
        <v>43</v>
      </c>
      <c r="C11" s="12">
        <f>C81</f>
        <v>0</v>
      </c>
      <c r="D11" s="12">
        <f>D81</f>
        <v>0</v>
      </c>
      <c r="E11" s="12">
        <f>E81</f>
        <v>0</v>
      </c>
      <c r="F11" s="12">
        <f>F81</f>
        <v>0</v>
      </c>
      <c r="G11" s="12">
        <f>G81</f>
        <v>0</v>
      </c>
      <c r="H11" s="12">
        <f>H81</f>
        <v>0</v>
      </c>
      <c r="I11" s="12">
        <f>I81</f>
        <v>0</v>
      </c>
      <c r="J11" s="12">
        <f>J81</f>
        <v>0</v>
      </c>
      <c r="K11" s="12">
        <f>K81</f>
        <v>0</v>
      </c>
      <c r="L11" s="12">
        <f>L81</f>
        <v>0</v>
      </c>
      <c r="M11" s="12">
        <f>M81</f>
        <v>0</v>
      </c>
    </row>
    <row r="12" spans="1:13">
      <c r="A12" s="13" t="s">
        <v>89</v>
      </c>
      <c r="B12" s="7" t="s">
        <v>43</v>
      </c>
      <c r="C12" s="12">
        <f>C82</f>
        <v>0</v>
      </c>
      <c r="D12" s="12">
        <f>D82</f>
        <v>0</v>
      </c>
      <c r="E12" s="12">
        <f>E82</f>
        <v>0</v>
      </c>
      <c r="F12" s="12">
        <f>F82</f>
        <v>0</v>
      </c>
      <c r="G12" s="12">
        <f>G82</f>
        <v>0</v>
      </c>
      <c r="H12" s="12">
        <f>H82</f>
        <v>0</v>
      </c>
      <c r="I12" s="12">
        <f>I82</f>
        <v>0</v>
      </c>
      <c r="J12" s="12">
        <f>J82</f>
        <v>0</v>
      </c>
      <c r="K12" s="12">
        <f>K82</f>
        <v>0</v>
      </c>
      <c r="L12" s="12">
        <f>L82</f>
        <v>0</v>
      </c>
      <c r="M12" s="12">
        <f>M82</f>
        <v>0</v>
      </c>
    </row>
    <row r="13" spans="1:13">
      <c r="A13" s="13" t="s">
        <v>88</v>
      </c>
      <c r="B13" s="7" t="s">
        <v>43</v>
      </c>
      <c r="C13" s="12">
        <f>C83</f>
        <v>0</v>
      </c>
      <c r="D13" s="12">
        <f>D83</f>
        <v>0</v>
      </c>
      <c r="E13" s="12">
        <f>E83</f>
        <v>0</v>
      </c>
      <c r="F13" s="12">
        <f>F83</f>
        <v>0</v>
      </c>
      <c r="G13" s="12">
        <f>G83</f>
        <v>0</v>
      </c>
      <c r="H13" s="12">
        <f>H83</f>
        <v>0</v>
      </c>
      <c r="I13" s="12">
        <f>I83</f>
        <v>0</v>
      </c>
      <c r="J13" s="12">
        <f>J83</f>
        <v>0</v>
      </c>
      <c r="K13" s="12">
        <f>K83</f>
        <v>0</v>
      </c>
      <c r="L13" s="12">
        <f>L83</f>
        <v>0</v>
      </c>
      <c r="M13" s="12">
        <f>M83</f>
        <v>0</v>
      </c>
    </row>
    <row r="14" spans="1:13">
      <c r="A14" s="13" t="s">
        <v>87</v>
      </c>
      <c r="B14" s="7" t="s">
        <v>43</v>
      </c>
      <c r="C14" s="12">
        <f>C84</f>
        <v>0</v>
      </c>
      <c r="D14" s="12">
        <f>D84</f>
        <v>0</v>
      </c>
      <c r="E14" s="12">
        <f>E84</f>
        <v>0</v>
      </c>
      <c r="F14" s="12">
        <f>F84</f>
        <v>0</v>
      </c>
      <c r="G14" s="12">
        <f>G84</f>
        <v>0</v>
      </c>
      <c r="H14" s="12">
        <f>H84</f>
        <v>0</v>
      </c>
      <c r="I14" s="12">
        <f>I84</f>
        <v>0</v>
      </c>
      <c r="J14" s="12">
        <f>J84</f>
        <v>0</v>
      </c>
      <c r="K14" s="12">
        <f>K84</f>
        <v>0</v>
      </c>
      <c r="L14" s="12">
        <f>L84</f>
        <v>0</v>
      </c>
      <c r="M14" s="12">
        <f>M84</f>
        <v>0</v>
      </c>
    </row>
    <row r="15" spans="1:13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6" spans="1:13">
      <c r="A16" s="10"/>
      <c r="B16" s="10"/>
      <c r="C16" s="10"/>
      <c r="D16" s="10"/>
      <c r="E16" s="10"/>
      <c r="F16" s="10"/>
      <c r="G16" s="10"/>
      <c r="H16" s="10"/>
      <c r="I16" s="10"/>
    </row>
    <row r="17" spans="1:13">
      <c r="A17" s="10"/>
      <c r="B17" s="10"/>
      <c r="C17" s="10"/>
      <c r="D17" s="10"/>
      <c r="E17" s="10"/>
      <c r="F17" s="10"/>
      <c r="G17" s="10"/>
      <c r="H17" s="10"/>
      <c r="I17" s="10"/>
    </row>
    <row r="18" spans="1:13">
      <c r="A18" s="9" t="s">
        <v>86</v>
      </c>
      <c r="B18" s="9" t="s">
        <v>85</v>
      </c>
      <c r="C18" s="9">
        <v>2014</v>
      </c>
      <c r="D18" s="8">
        <v>2015</v>
      </c>
      <c r="E18" s="9">
        <v>2016</v>
      </c>
      <c r="F18" s="9">
        <v>2017</v>
      </c>
      <c r="G18" s="8">
        <v>2018</v>
      </c>
      <c r="H18" s="9">
        <v>2019</v>
      </c>
      <c r="I18" s="9">
        <v>2020</v>
      </c>
      <c r="J18" s="8">
        <v>2021</v>
      </c>
      <c r="K18" s="9">
        <v>2022</v>
      </c>
      <c r="L18" s="9">
        <v>2023</v>
      </c>
      <c r="M18" s="8">
        <v>2024</v>
      </c>
    </row>
    <row r="19" spans="1:13">
      <c r="A19" s="4" t="s">
        <v>84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>
      <c r="A20" s="2" t="s">
        <v>83</v>
      </c>
      <c r="B20" s="2" t="s">
        <v>82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>
      <c r="A21" s="6" t="s">
        <v>81</v>
      </c>
      <c r="B21" s="2" t="s">
        <v>80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>
      <c r="A22" s="6" t="s">
        <v>79</v>
      </c>
      <c r="B22" s="2" t="s">
        <v>78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>
      <c r="A23" s="6" t="s">
        <v>77</v>
      </c>
      <c r="B23" s="2" t="s">
        <v>76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>
      <c r="A24" s="4" t="s">
        <v>75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13">
      <c r="A25" s="5" t="s">
        <v>74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spans="1:13">
      <c r="A26" s="2" t="s">
        <v>73</v>
      </c>
      <c r="B26" s="2" t="s">
        <v>60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>
      <c r="A27" s="2" t="s">
        <v>72</v>
      </c>
      <c r="B27" s="2" t="s">
        <v>60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>
      <c r="A28" s="2" t="s">
        <v>71</v>
      </c>
      <c r="B28" s="2" t="s">
        <v>60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>
      <c r="A29" s="2" t="s">
        <v>70</v>
      </c>
      <c r="B29" s="2" t="s">
        <v>60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>
      <c r="A30" s="2" t="s">
        <v>69</v>
      </c>
      <c r="B30" s="2" t="s">
        <v>60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>
      <c r="A31" s="2" t="s">
        <v>68</v>
      </c>
      <c r="B31" s="2" t="s">
        <v>60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>
      <c r="A32" s="2" t="s">
        <v>67</v>
      </c>
      <c r="B32" s="2" t="s">
        <v>60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>
      <c r="A33" s="2" t="s">
        <v>66</v>
      </c>
      <c r="B33" s="2" t="s">
        <v>60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>
      <c r="A34" s="2" t="s">
        <v>65</v>
      </c>
      <c r="B34" s="2" t="s">
        <v>60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>
      <c r="A35" s="2" t="s">
        <v>64</v>
      </c>
      <c r="B35" s="2" t="s">
        <v>60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>
      <c r="A36" s="6" t="s">
        <v>15</v>
      </c>
      <c r="B36" s="2" t="s">
        <v>60</v>
      </c>
      <c r="C36" s="1">
        <f>SUM(C26:C35)</f>
        <v>0</v>
      </c>
      <c r="D36" s="1">
        <f>SUM(D26:D35)</f>
        <v>0</v>
      </c>
      <c r="E36" s="1">
        <f>SUM(E26:E35)</f>
        <v>0</v>
      </c>
      <c r="F36" s="1">
        <f>SUM(F26:F35)</f>
        <v>0</v>
      </c>
      <c r="G36" s="1">
        <f>SUM(G26:G35)</f>
        <v>0</v>
      </c>
      <c r="H36" s="1">
        <f>SUM(H26:H35)</f>
        <v>0</v>
      </c>
      <c r="I36" s="1">
        <f>SUM(I26:I35)</f>
        <v>0</v>
      </c>
      <c r="J36" s="1">
        <f>SUM(J26:J35)</f>
        <v>0</v>
      </c>
      <c r="K36" s="1">
        <f>SUM(K26:K35)</f>
        <v>0</v>
      </c>
      <c r="L36" s="1">
        <f>SUM(L26:L35)</f>
        <v>0</v>
      </c>
      <c r="M36" s="1">
        <f>SUM(M26:M35)</f>
        <v>0</v>
      </c>
    </row>
    <row r="37" spans="1:13">
      <c r="A37" s="5" t="s">
        <v>63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spans="1:13">
      <c r="A38" s="2" t="s">
        <v>63</v>
      </c>
      <c r="B38" s="2" t="s">
        <v>19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>
      <c r="A39" s="4" t="s">
        <v>62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>
      <c r="A40" s="5" t="s">
        <v>61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spans="1:13">
      <c r="A41" s="2" t="s">
        <v>35</v>
      </c>
      <c r="B41" s="2" t="s">
        <v>60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>
      <c r="A42" s="2" t="s">
        <v>34</v>
      </c>
      <c r="B42" s="2" t="s">
        <v>60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>
      <c r="A43" s="2" t="s">
        <v>33</v>
      </c>
      <c r="B43" s="2" t="s">
        <v>60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>
      <c r="A44" s="6" t="s">
        <v>32</v>
      </c>
      <c r="B44" s="2" t="s">
        <v>60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>
      <c r="A45" s="6" t="s">
        <v>31</v>
      </c>
      <c r="B45" s="2" t="s">
        <v>60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>
      <c r="A46" s="6" t="s">
        <v>30</v>
      </c>
      <c r="B46" s="2" t="s">
        <v>60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>
      <c r="A47" s="6" t="s">
        <v>29</v>
      </c>
      <c r="B47" s="2" t="s">
        <v>60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>
      <c r="A48" s="6" t="s">
        <v>28</v>
      </c>
      <c r="B48" s="2" t="s">
        <v>60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>
      <c r="A49" s="6" t="s">
        <v>27</v>
      </c>
      <c r="B49" s="6" t="s">
        <v>60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>
      <c r="A50" s="6" t="s">
        <v>26</v>
      </c>
      <c r="B50" s="6" t="s">
        <v>60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>
      <c r="A51" s="6" t="s">
        <v>25</v>
      </c>
      <c r="B51" s="6" t="s">
        <v>60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>
      <c r="A52" s="6" t="s">
        <v>24</v>
      </c>
      <c r="B52" s="6" t="s">
        <v>60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>
      <c r="A53" s="6" t="s">
        <v>23</v>
      </c>
      <c r="B53" s="6" t="s">
        <v>60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>
      <c r="A54" s="6" t="s">
        <v>22</v>
      </c>
      <c r="B54" s="6" t="s">
        <v>60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>
      <c r="A55" s="6" t="s">
        <v>21</v>
      </c>
      <c r="B55" s="2" t="s">
        <v>60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>
      <c r="A56" s="6" t="s">
        <v>20</v>
      </c>
      <c r="B56" s="2" t="s">
        <v>60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>
      <c r="A57" s="6" t="s">
        <v>15</v>
      </c>
      <c r="B57" s="2" t="s">
        <v>60</v>
      </c>
      <c r="C57" s="1">
        <f>SUM(C41:C56)</f>
        <v>0</v>
      </c>
      <c r="D57" s="1">
        <f>SUM(D41:D56)</f>
        <v>0</v>
      </c>
      <c r="E57" s="1">
        <f>SUM(E41:E56)</f>
        <v>0</v>
      </c>
      <c r="F57" s="1">
        <f>SUM(F41:F56)</f>
        <v>0</v>
      </c>
      <c r="G57" s="1">
        <f>SUM(G41:G56)</f>
        <v>0</v>
      </c>
      <c r="H57" s="1">
        <f>SUM(H41:H56)</f>
        <v>0</v>
      </c>
      <c r="I57" s="1">
        <f>SUM(I41:I56)</f>
        <v>0</v>
      </c>
      <c r="J57" s="1">
        <f>SUM(J41:J56)</f>
        <v>0</v>
      </c>
      <c r="K57" s="1">
        <f>SUM(K41:K56)</f>
        <v>0</v>
      </c>
      <c r="L57" s="1">
        <f>SUM(L41:L56)</f>
        <v>0</v>
      </c>
      <c r="M57" s="1">
        <f>SUM(M41:M56)</f>
        <v>0</v>
      </c>
    </row>
    <row r="58" spans="1:13">
      <c r="A58" s="5" t="s">
        <v>59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 spans="1:13">
      <c r="A59" s="2" t="s">
        <v>58</v>
      </c>
      <c r="B59" s="2" t="s">
        <v>57</v>
      </c>
      <c r="C59" s="1">
        <f>IFERROR(1-(C36-C33)/(C57-C33),0)</f>
        <v>0</v>
      </c>
      <c r="D59" s="1">
        <f>IFERROR(1-(D36-D33)/(D57-D33),0)</f>
        <v>0</v>
      </c>
      <c r="E59" s="1">
        <f>IFERROR(1-(E36-E33)/(E57-E33),0)</f>
        <v>0</v>
      </c>
      <c r="F59" s="1">
        <f>IFERROR(1-(F36-F33)/(F57-F33),0)</f>
        <v>0</v>
      </c>
      <c r="G59" s="1">
        <f>IFERROR(1-(G36-G33)/(G57-G33),0)</f>
        <v>0</v>
      </c>
      <c r="H59" s="1">
        <f>IFERROR(1-(H36-H33)/(H57-H33),0)</f>
        <v>0</v>
      </c>
      <c r="I59" s="1">
        <f>IFERROR(1-(I36-I33)/(I57-I33),0)</f>
        <v>0</v>
      </c>
      <c r="J59" s="1">
        <f>IFERROR(1-(J36-J33)/(J57-J33),0)</f>
        <v>0</v>
      </c>
      <c r="K59" s="1">
        <f>IFERROR(1-(K36-K33)/(K57-K33),0)</f>
        <v>0</v>
      </c>
      <c r="L59" s="1">
        <f>IFERROR(1-(L36-L33)/(L57-L33),0)</f>
        <v>0</v>
      </c>
      <c r="M59" s="1">
        <f>IFERROR(1-(M36-M33)/(M57-M33),0)</f>
        <v>0</v>
      </c>
    </row>
    <row r="60" spans="1:13">
      <c r="A60" s="5" t="s">
        <v>56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 spans="1:13">
      <c r="A61" s="2" t="s">
        <v>35</v>
      </c>
      <c r="B61" s="6" t="s">
        <v>55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>
      <c r="A62" s="6" t="s">
        <v>34</v>
      </c>
      <c r="B62" s="6" t="s">
        <v>55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>
      <c r="A63" s="2" t="s">
        <v>33</v>
      </c>
      <c r="B63" s="6" t="s">
        <v>55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>
      <c r="A64" s="6" t="s">
        <v>32</v>
      </c>
      <c r="B64" s="6" t="s">
        <v>55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>
      <c r="A65" s="6" t="s">
        <v>31</v>
      </c>
      <c r="B65" s="6" t="s">
        <v>53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>
      <c r="A66" s="6" t="s">
        <v>30</v>
      </c>
      <c r="B66" s="6" t="s">
        <v>53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>
      <c r="A67" s="6" t="s">
        <v>29</v>
      </c>
      <c r="B67" s="6" t="s">
        <v>53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>
      <c r="A68" s="6" t="s">
        <v>28</v>
      </c>
      <c r="B68" s="6" t="s">
        <v>53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>
      <c r="A69" s="6" t="s">
        <v>27</v>
      </c>
      <c r="B69" s="6" t="s">
        <v>53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>
      <c r="A70" s="6" t="s">
        <v>26</v>
      </c>
      <c r="B70" s="6" t="s">
        <v>53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>
      <c r="A71" s="6" t="s">
        <v>25</v>
      </c>
      <c r="B71" s="6" t="s">
        <v>53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>
      <c r="A72" s="6" t="s">
        <v>24</v>
      </c>
      <c r="B72" s="6" t="s">
        <v>53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>
      <c r="A73" s="6" t="s">
        <v>23</v>
      </c>
      <c r="B73" s="6" t="s">
        <v>53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>
      <c r="A74" s="6" t="s">
        <v>22</v>
      </c>
      <c r="B74" s="6" t="s">
        <v>53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>
      <c r="A75" s="6" t="s">
        <v>21</v>
      </c>
      <c r="B75" s="6" t="s">
        <v>53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>
      <c r="A76" s="6" t="s">
        <v>20</v>
      </c>
      <c r="B76" s="6" t="s">
        <v>53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>
      <c r="A77" s="6" t="s">
        <v>54</v>
      </c>
      <c r="B77" s="6" t="s">
        <v>53</v>
      </c>
      <c r="C77" s="1">
        <f>SUM(C61:C76)</f>
        <v>0</v>
      </c>
      <c r="D77" s="1">
        <f>SUM(D61:D76)</f>
        <v>0</v>
      </c>
      <c r="E77" s="1">
        <f>SUM(E61:E76)</f>
        <v>0</v>
      </c>
      <c r="F77" s="1">
        <f>SUM(F61:F76)</f>
        <v>0</v>
      </c>
      <c r="G77" s="1">
        <f>SUM(G61:G76)</f>
        <v>0</v>
      </c>
      <c r="H77" s="1">
        <f>SUM(H61:H76)</f>
        <v>0</v>
      </c>
      <c r="I77" s="1">
        <f>SUM(I61:I76)</f>
        <v>0</v>
      </c>
      <c r="J77" s="1">
        <f>SUM(J61:J76)</f>
        <v>0</v>
      </c>
      <c r="K77" s="1">
        <f>SUM(K61:K76)</f>
        <v>0</v>
      </c>
      <c r="L77" s="1">
        <f>SUM(L61:L76)</f>
        <v>0</v>
      </c>
      <c r="M77" s="1">
        <f>SUM(M61:M76)</f>
        <v>0</v>
      </c>
    </row>
    <row r="78" spans="1:13">
      <c r="A78" s="5" t="s">
        <v>52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 spans="1:13">
      <c r="A79" s="2" t="s">
        <v>51</v>
      </c>
      <c r="B79" s="6" t="s">
        <v>40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>
      <c r="A80" s="5" t="s">
        <v>50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 spans="1:13">
      <c r="A81" s="2" t="s">
        <v>49</v>
      </c>
      <c r="B81" s="7" t="s">
        <v>43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>
      <c r="A82" s="6" t="s">
        <v>48</v>
      </c>
      <c r="B82" s="7" t="s">
        <v>43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>
      <c r="A83" s="6" t="s">
        <v>47</v>
      </c>
      <c r="B83" s="7" t="s">
        <v>43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>
      <c r="A84" s="6" t="s">
        <v>46</v>
      </c>
      <c r="B84" s="7" t="s">
        <v>43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>
      <c r="A85" s="6" t="s">
        <v>45</v>
      </c>
      <c r="B85" s="7" t="s">
        <v>43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>
      <c r="A86" s="6" t="s">
        <v>44</v>
      </c>
      <c r="B86" s="7" t="s">
        <v>43</v>
      </c>
      <c r="C86" s="1">
        <f>SUM(C81:C85)</f>
        <v>0</v>
      </c>
      <c r="D86" s="1">
        <f>SUM(D81:D85)</f>
        <v>0</v>
      </c>
      <c r="E86" s="1">
        <f>SUM(E81:E85)</f>
        <v>0</v>
      </c>
      <c r="F86" s="1">
        <f>SUM(F81:F85)</f>
        <v>0</v>
      </c>
      <c r="G86" s="1">
        <f>SUM(G81:G85)</f>
        <v>0</v>
      </c>
      <c r="H86" s="1">
        <f>SUM(H81:H85)</f>
        <v>0</v>
      </c>
      <c r="I86" s="1">
        <f>SUM(I81:I85)</f>
        <v>0</v>
      </c>
      <c r="J86" s="1">
        <f>SUM(J81:J85)</f>
        <v>0</v>
      </c>
      <c r="K86" s="1">
        <f>SUM(K81:K85)</f>
        <v>0</v>
      </c>
      <c r="L86" s="1">
        <f>SUM(L81:L85)</f>
        <v>0</v>
      </c>
      <c r="M86" s="1">
        <f>SUM(M81:M85)</f>
        <v>0</v>
      </c>
    </row>
    <row r="87" spans="1:13">
      <c r="A87" s="5" t="s">
        <v>42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 spans="1:13">
      <c r="A88" s="6" t="s">
        <v>41</v>
      </c>
      <c r="B88" s="6" t="s">
        <v>40</v>
      </c>
      <c r="C88" s="1">
        <f>C77+C79-C86</f>
        <v>0</v>
      </c>
      <c r="D88" s="1">
        <f>D77+D79-D86</f>
        <v>0</v>
      </c>
      <c r="E88" s="1">
        <f>E77+E79-E86</f>
        <v>0</v>
      </c>
      <c r="F88" s="1">
        <f>F77+F79-F86</f>
        <v>0</v>
      </c>
      <c r="G88" s="1">
        <f>G77+G79-G86</f>
        <v>0</v>
      </c>
      <c r="H88" s="1">
        <f>H77+H79-H86</f>
        <v>0</v>
      </c>
      <c r="I88" s="1">
        <f>I77+I79-I86</f>
        <v>0</v>
      </c>
      <c r="J88" s="1">
        <f>J77+J79-J86</f>
        <v>0</v>
      </c>
      <c r="K88" s="1">
        <f>K77+K79-K86</f>
        <v>0</v>
      </c>
      <c r="L88" s="1">
        <f>L77+L79-L86</f>
        <v>0</v>
      </c>
      <c r="M88" s="1">
        <f>M77+M79-M86</f>
        <v>0</v>
      </c>
    </row>
    <row r="89" spans="1:13">
      <c r="A89" s="4" t="s">
        <v>39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>
      <c r="A90" s="5" t="s">
        <v>38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 spans="1:13">
      <c r="A91" s="2" t="s">
        <v>35</v>
      </c>
      <c r="B91" s="2" t="s">
        <v>19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>
      <c r="A92" s="2" t="s">
        <v>34</v>
      </c>
      <c r="B92" s="2" t="s">
        <v>19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>
      <c r="A93" s="2" t="s">
        <v>33</v>
      </c>
      <c r="B93" s="2" t="s">
        <v>19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>
      <c r="A94" s="6" t="s">
        <v>32</v>
      </c>
      <c r="B94" s="2" t="s">
        <v>19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>
      <c r="A95" s="6" t="s">
        <v>31</v>
      </c>
      <c r="B95" s="2" t="s">
        <v>19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>
      <c r="A96" s="6" t="s">
        <v>30</v>
      </c>
      <c r="B96" s="2" t="s">
        <v>19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>
      <c r="A97" s="6" t="s">
        <v>29</v>
      </c>
      <c r="B97" s="2" t="s">
        <v>19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>
      <c r="A98" s="6" t="s">
        <v>28</v>
      </c>
      <c r="B98" s="2" t="s">
        <v>19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>
      <c r="A99" s="6" t="s">
        <v>27</v>
      </c>
      <c r="B99" s="2" t="s">
        <v>19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>
      <c r="A100" s="6" t="s">
        <v>26</v>
      </c>
      <c r="B100" s="2" t="s">
        <v>19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>
      <c r="A101" s="6" t="s">
        <v>25</v>
      </c>
      <c r="B101" s="2" t="s">
        <v>19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>
      <c r="A102" s="6" t="s">
        <v>24</v>
      </c>
      <c r="B102" s="2" t="s">
        <v>19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>
      <c r="A103" s="6" t="s">
        <v>23</v>
      </c>
      <c r="B103" s="2" t="s">
        <v>19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>
      <c r="A104" s="6" t="s">
        <v>22</v>
      </c>
      <c r="B104" s="2" t="s">
        <v>19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>
      <c r="A105" s="6" t="s">
        <v>21</v>
      </c>
      <c r="B105" s="2" t="s">
        <v>19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>
      <c r="A106" s="6" t="s">
        <v>20</v>
      </c>
      <c r="B106" s="2" t="s">
        <v>19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>
      <c r="A107" s="6" t="s">
        <v>15</v>
      </c>
      <c r="B107" s="2" t="s">
        <v>19</v>
      </c>
      <c r="C107" s="1">
        <f>SUM(C91:C106)</f>
        <v>0</v>
      </c>
      <c r="D107" s="1">
        <f>SUM(D91:D106)</f>
        <v>0</v>
      </c>
      <c r="E107" s="1">
        <f>SUM(E91:E106)</f>
        <v>0</v>
      </c>
      <c r="F107" s="1">
        <f>SUM(F91:F106)</f>
        <v>0</v>
      </c>
      <c r="G107" s="1">
        <f>SUM(G91:G106)</f>
        <v>0</v>
      </c>
      <c r="H107" s="1">
        <f>SUM(H91:H106)</f>
        <v>0</v>
      </c>
      <c r="I107" s="1">
        <f>SUM(I91:I106)</f>
        <v>0</v>
      </c>
      <c r="J107" s="1">
        <f>SUM(J91:J106)</f>
        <v>0</v>
      </c>
      <c r="K107" s="1">
        <f>SUM(K91:K106)</f>
        <v>0</v>
      </c>
      <c r="L107" s="1">
        <f>SUM(L91:L106)</f>
        <v>0</v>
      </c>
      <c r="M107" s="1">
        <f>SUM(M91:M106)</f>
        <v>0</v>
      </c>
    </row>
    <row r="108" spans="1:13">
      <c r="A108" s="5" t="s">
        <v>37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 spans="1:13">
      <c r="A109" s="2" t="s">
        <v>35</v>
      </c>
      <c r="B109" s="2" t="s">
        <v>19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>
      <c r="A110" s="2" t="s">
        <v>34</v>
      </c>
      <c r="B110" s="2" t="s">
        <v>19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>
      <c r="A111" s="2" t="s">
        <v>33</v>
      </c>
      <c r="B111" s="2" t="s">
        <v>19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1:13">
      <c r="A112" s="6" t="s">
        <v>32</v>
      </c>
      <c r="B112" s="2" t="s">
        <v>19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1:13">
      <c r="A113" s="6" t="s">
        <v>31</v>
      </c>
      <c r="B113" s="2" t="s">
        <v>19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1:13">
      <c r="A114" s="6" t="s">
        <v>30</v>
      </c>
      <c r="B114" s="2" t="s">
        <v>19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3">
      <c r="A115" s="6" t="s">
        <v>29</v>
      </c>
      <c r="B115" s="2" t="s">
        <v>19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>
      <c r="A116" s="6" t="s">
        <v>28</v>
      </c>
      <c r="B116" s="2" t="s">
        <v>19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>
      <c r="A117" s="6" t="s">
        <v>27</v>
      </c>
      <c r="B117" s="2" t="s">
        <v>19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>
      <c r="A118" s="6" t="s">
        <v>26</v>
      </c>
      <c r="B118" s="2" t="s">
        <v>19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>
      <c r="A119" s="6" t="s">
        <v>25</v>
      </c>
      <c r="B119" s="2" t="s">
        <v>19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>
      <c r="A120" s="6" t="s">
        <v>24</v>
      </c>
      <c r="B120" s="2" t="s">
        <v>19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>
      <c r="A121" s="6" t="s">
        <v>23</v>
      </c>
      <c r="B121" s="2" t="s">
        <v>19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>
      <c r="A122" s="6" t="s">
        <v>22</v>
      </c>
      <c r="B122" s="2" t="s">
        <v>19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>
      <c r="A123" s="6" t="s">
        <v>21</v>
      </c>
      <c r="B123" s="2" t="s">
        <v>19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>
      <c r="A124" s="6" t="s">
        <v>20</v>
      </c>
      <c r="B124" s="2" t="s">
        <v>19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>
      <c r="A125" s="6" t="s">
        <v>15</v>
      </c>
      <c r="B125" s="2" t="s">
        <v>19</v>
      </c>
      <c r="C125" s="1">
        <f>SUM(C109:C124)</f>
        <v>0</v>
      </c>
      <c r="D125" s="1">
        <f>SUM(D109:D124)</f>
        <v>0</v>
      </c>
      <c r="E125" s="1">
        <f>SUM(E109:E124)</f>
        <v>0</v>
      </c>
      <c r="F125" s="1">
        <f>SUM(F109:F124)</f>
        <v>0</v>
      </c>
      <c r="G125" s="1">
        <f>SUM(G109:G124)</f>
        <v>0</v>
      </c>
      <c r="H125" s="1">
        <f>SUM(H109:H124)</f>
        <v>0</v>
      </c>
      <c r="I125" s="1">
        <f>SUM(I109:I124)</f>
        <v>0</v>
      </c>
      <c r="J125" s="1">
        <f>SUM(J109:J124)</f>
        <v>0</v>
      </c>
      <c r="K125" s="1">
        <f>SUM(K109:K124)</f>
        <v>0</v>
      </c>
      <c r="L125" s="1">
        <f>SUM(L109:L124)</f>
        <v>0</v>
      </c>
      <c r="M125" s="1">
        <f>SUM(M109:M124)</f>
        <v>0</v>
      </c>
    </row>
    <row r="126" spans="1:13">
      <c r="A126" s="5" t="s">
        <v>36</v>
      </c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 spans="1:13">
      <c r="A127" s="2" t="s">
        <v>35</v>
      </c>
      <c r="B127" s="2" t="s">
        <v>19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>
      <c r="A128" s="2" t="s">
        <v>34</v>
      </c>
      <c r="B128" s="2" t="s">
        <v>19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>
      <c r="A129" s="2" t="s">
        <v>33</v>
      </c>
      <c r="B129" s="2" t="s">
        <v>19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>
      <c r="A130" s="6" t="s">
        <v>32</v>
      </c>
      <c r="B130" s="2" t="s">
        <v>19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>
      <c r="A131" s="6" t="s">
        <v>31</v>
      </c>
      <c r="B131" s="2" t="s">
        <v>19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1:13">
      <c r="A132" s="6" t="s">
        <v>30</v>
      </c>
      <c r="B132" s="2" t="s">
        <v>19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1:13">
      <c r="A133" s="6" t="s">
        <v>29</v>
      </c>
      <c r="B133" s="2" t="s">
        <v>19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1:13">
      <c r="A134" s="6" t="s">
        <v>28</v>
      </c>
      <c r="B134" s="2" t="s">
        <v>19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13">
      <c r="A135" s="6" t="s">
        <v>27</v>
      </c>
      <c r="B135" s="2" t="s">
        <v>19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1:13">
      <c r="A136" s="6" t="s">
        <v>26</v>
      </c>
      <c r="B136" s="2" t="s">
        <v>19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1:13">
      <c r="A137" s="6" t="s">
        <v>25</v>
      </c>
      <c r="B137" s="2" t="s">
        <v>19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13">
      <c r="A138" s="6" t="s">
        <v>24</v>
      </c>
      <c r="B138" s="2" t="s">
        <v>19</v>
      </c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3">
      <c r="A139" s="6" t="s">
        <v>23</v>
      </c>
      <c r="B139" s="2" t="s">
        <v>19</v>
      </c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13">
      <c r="A140" s="6" t="s">
        <v>22</v>
      </c>
      <c r="B140" s="2" t="s">
        <v>19</v>
      </c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>
      <c r="A141" s="6" t="s">
        <v>21</v>
      </c>
      <c r="B141" s="2" t="s">
        <v>19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1:13">
      <c r="A142" s="6" t="s">
        <v>20</v>
      </c>
      <c r="B142" s="2" t="s">
        <v>19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1:13">
      <c r="A143" s="6" t="s">
        <v>15</v>
      </c>
      <c r="B143" s="2" t="s">
        <v>19</v>
      </c>
      <c r="C143" s="1">
        <f>SUM(C127:C142)</f>
        <v>0</v>
      </c>
      <c r="D143" s="1">
        <f>SUM(D127:D142)</f>
        <v>0</v>
      </c>
      <c r="E143" s="1">
        <f>SUM(E127:E142)</f>
        <v>0</v>
      </c>
      <c r="F143" s="1">
        <f>SUM(F127:F142)</f>
        <v>0</v>
      </c>
      <c r="G143" s="1">
        <f>SUM(G127:G142)</f>
        <v>0</v>
      </c>
      <c r="H143" s="1">
        <f>SUM(H127:H142)</f>
        <v>0</v>
      </c>
      <c r="I143" s="1">
        <f>SUM(I127:I142)</f>
        <v>0</v>
      </c>
      <c r="J143" s="1">
        <f>SUM(J127:J142)</f>
        <v>0</v>
      </c>
      <c r="K143" s="1">
        <f>SUM(K127:K142)</f>
        <v>0</v>
      </c>
      <c r="L143" s="1">
        <f>SUM(L127:L142)</f>
        <v>0</v>
      </c>
      <c r="M143" s="1">
        <f>SUM(M127:M142)</f>
        <v>0</v>
      </c>
    </row>
    <row r="144" spans="1:13">
      <c r="A144" s="4" t="s">
        <v>18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</row>
    <row r="145" spans="1:13">
      <c r="A145" s="5" t="s">
        <v>17</v>
      </c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 spans="1:13">
      <c r="A146" s="2" t="s">
        <v>14</v>
      </c>
      <c r="B146" s="2" t="s">
        <v>0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1:13">
      <c r="A147" s="2" t="s">
        <v>13</v>
      </c>
      <c r="B147" s="2" t="s">
        <v>0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1:13">
      <c r="A148" s="2" t="s">
        <v>12</v>
      </c>
      <c r="B148" s="2" t="s">
        <v>0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1:13">
      <c r="A149" s="2" t="s">
        <v>11</v>
      </c>
      <c r="B149" s="2" t="s">
        <v>0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13">
      <c r="A150" s="2" t="s">
        <v>10</v>
      </c>
      <c r="B150" s="2" t="s">
        <v>0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spans="1:13">
      <c r="A151" s="2" t="s">
        <v>9</v>
      </c>
      <c r="B151" s="2" t="s">
        <v>0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spans="1:13">
      <c r="A152" s="2" t="s">
        <v>8</v>
      </c>
      <c r="B152" s="2" t="s">
        <v>0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1:13">
      <c r="A153" s="2" t="s">
        <v>7</v>
      </c>
      <c r="B153" s="2" t="s">
        <v>0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spans="1:13" ht="14.25" customHeight="1">
      <c r="A154" s="2" t="s">
        <v>6</v>
      </c>
      <c r="B154" s="2" t="s">
        <v>0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1:13" ht="14.25" customHeight="1">
      <c r="A155" s="2" t="s">
        <v>16</v>
      </c>
      <c r="B155" s="2" t="s">
        <v>0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1:13">
      <c r="A156" s="2" t="s">
        <v>15</v>
      </c>
      <c r="B156" s="2" t="s">
        <v>0</v>
      </c>
      <c r="C156" s="1">
        <f>SUM(C146:C155)</f>
        <v>0</v>
      </c>
      <c r="D156" s="1">
        <f>SUM(D146:D155)</f>
        <v>0</v>
      </c>
      <c r="E156" s="1">
        <f>SUM(E146:E155)</f>
        <v>0</v>
      </c>
      <c r="F156" s="1">
        <f>SUM(F146:F155)</f>
        <v>0</v>
      </c>
      <c r="G156" s="1">
        <f>SUM(G146:G155)</f>
        <v>0</v>
      </c>
      <c r="H156" s="1">
        <f>SUM(H146:H155)</f>
        <v>0</v>
      </c>
      <c r="I156" s="1">
        <f>SUM(I146:I155)</f>
        <v>0</v>
      </c>
      <c r="J156" s="1">
        <f>SUM(J146:J155)</f>
        <v>0</v>
      </c>
      <c r="K156" s="1">
        <f>SUM(K146:K155)</f>
        <v>0</v>
      </c>
      <c r="L156" s="1">
        <f>SUM(L146:L155)</f>
        <v>0</v>
      </c>
      <c r="M156" s="1">
        <f>SUM(M146:M155)</f>
        <v>0</v>
      </c>
    </row>
    <row r="157" spans="1:13">
      <c r="A157" s="2" t="s">
        <v>14</v>
      </c>
      <c r="B157" s="2" t="s">
        <v>0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1:13">
      <c r="A158" s="2" t="s">
        <v>13</v>
      </c>
      <c r="B158" s="2" t="s">
        <v>0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1:13">
      <c r="A159" s="2" t="s">
        <v>12</v>
      </c>
      <c r="B159" s="2" t="s">
        <v>5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spans="1:13">
      <c r="A160" s="2" t="s">
        <v>11</v>
      </c>
      <c r="B160" s="2" t="s">
        <v>5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spans="1:13">
      <c r="A161" s="2" t="s">
        <v>10</v>
      </c>
      <c r="B161" s="2" t="s">
        <v>5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spans="1:13">
      <c r="A162" s="2" t="s">
        <v>9</v>
      </c>
      <c r="B162" s="2" t="s">
        <v>5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spans="1:13">
      <c r="A163" s="2" t="s">
        <v>8</v>
      </c>
      <c r="B163" s="2" t="s">
        <v>5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1:13">
      <c r="A164" s="2" t="s">
        <v>7</v>
      </c>
      <c r="B164" s="2" t="s">
        <v>5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1:13">
      <c r="A165" s="2" t="s">
        <v>6</v>
      </c>
      <c r="B165" s="2" t="s">
        <v>5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spans="1:13">
      <c r="A166" s="4" t="s">
        <v>4</v>
      </c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</row>
    <row r="167" spans="1:13">
      <c r="A167" s="2" t="s">
        <v>3</v>
      </c>
      <c r="B167" s="2" t="s">
        <v>0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>
      <c r="A168" s="2" t="s">
        <v>2</v>
      </c>
      <c r="B168" s="2" t="s">
        <v>0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>
      <c r="A169" s="2" t="s">
        <v>1</v>
      </c>
      <c r="B169" s="2" t="s">
        <v>0</v>
      </c>
      <c r="C169" s="1">
        <f>C6*0.0036</f>
        <v>0</v>
      </c>
      <c r="D169" s="1">
        <f>D6*0.0036</f>
        <v>0</v>
      </c>
      <c r="E169" s="1">
        <f>E6*0.0036</f>
        <v>0</v>
      </c>
      <c r="F169" s="1">
        <f>F6*0.0036</f>
        <v>0</v>
      </c>
      <c r="G169" s="1">
        <f>G6*0.0036</f>
        <v>0</v>
      </c>
      <c r="H169" s="1">
        <f>H6*0.0036</f>
        <v>0</v>
      </c>
      <c r="I169" s="1">
        <f>I6*0.0036</f>
        <v>0</v>
      </c>
      <c r="J169" s="1">
        <f>J6*0.0036</f>
        <v>0</v>
      </c>
      <c r="K169" s="1">
        <f>K6*0.0036</f>
        <v>0</v>
      </c>
      <c r="L169" s="1">
        <f>L6*0.0036</f>
        <v>0</v>
      </c>
      <c r="M169" s="1">
        <f>M6*0.0036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Shoxruh Bobodjanov</dc:creator>
  <cp:lastModifiedBy>Shoxruh Bobodjanov</cp:lastModifiedBy>
  <dcterms:created xsi:type="dcterms:W3CDTF">2025-04-08T08:11:46Z</dcterms:created>
  <dcterms:modified xsi:type="dcterms:W3CDTF">2025-04-08T08:12:53Z</dcterms:modified>
</cp:coreProperties>
</file>