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.bobojanov/Desktop/"/>
    </mc:Choice>
  </mc:AlternateContent>
  <xr:revisionPtr revIDLastSave="0" documentId="8_{870E1061-D7C9-0B42-9E9C-7CC1F90446F6}" xr6:coauthVersionLast="47" xr6:coauthVersionMax="47" xr10:uidLastSave="{00000000-0000-0000-0000-000000000000}"/>
  <bookViews>
    <workbookView xWindow="640" yWindow="500" windowWidth="44160" windowHeight="22980" xr2:uid="{708E14FF-FA50-1644-8208-32CD5C84A285}"/>
  </bookViews>
  <sheets>
    <sheet name="EXTRACTIVE ENERGY INDUSTR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F12" i="2"/>
  <c r="G12" i="2"/>
  <c r="H12" i="2"/>
  <c r="I12" i="2"/>
  <c r="J12" i="2"/>
  <c r="K12" i="2"/>
  <c r="L12" i="2"/>
  <c r="M12" i="2"/>
  <c r="D11" i="2"/>
  <c r="E11" i="2"/>
  <c r="F11" i="2"/>
  <c r="G11" i="2"/>
  <c r="H11" i="2"/>
  <c r="I11" i="2"/>
  <c r="J11" i="2"/>
  <c r="K11" i="2"/>
  <c r="L11" i="2"/>
  <c r="M11" i="2"/>
  <c r="D10" i="2"/>
  <c r="E10" i="2"/>
  <c r="F10" i="2"/>
  <c r="G10" i="2"/>
  <c r="H10" i="2"/>
  <c r="I10" i="2"/>
  <c r="J10" i="2"/>
  <c r="K10" i="2"/>
  <c r="L10" i="2"/>
  <c r="M10" i="2"/>
  <c r="D9" i="2"/>
  <c r="E9" i="2"/>
  <c r="F9" i="2"/>
  <c r="G9" i="2"/>
  <c r="H9" i="2"/>
  <c r="I9" i="2"/>
  <c r="J9" i="2"/>
  <c r="K9" i="2"/>
  <c r="L9" i="2"/>
  <c r="M9" i="2"/>
  <c r="D8" i="2"/>
  <c r="E8" i="2"/>
  <c r="F8" i="2"/>
  <c r="G8" i="2"/>
  <c r="H8" i="2"/>
  <c r="I8" i="2"/>
  <c r="J8" i="2"/>
  <c r="K8" i="2"/>
  <c r="L8" i="2"/>
  <c r="M8" i="2"/>
  <c r="D7" i="2"/>
  <c r="E7" i="2"/>
  <c r="F7" i="2"/>
  <c r="G7" i="2"/>
  <c r="H7" i="2"/>
  <c r="I7" i="2"/>
  <c r="J7" i="2"/>
  <c r="K7" i="2"/>
  <c r="L7" i="2"/>
  <c r="M7" i="2"/>
  <c r="D6" i="2"/>
  <c r="E6" i="2"/>
  <c r="F6" i="2"/>
  <c r="G6" i="2"/>
  <c r="H6" i="2"/>
  <c r="I6" i="2"/>
  <c r="J6" i="2"/>
  <c r="K6" i="2"/>
  <c r="L6" i="2"/>
  <c r="M6" i="2"/>
  <c r="D5" i="2"/>
  <c r="E5" i="2"/>
  <c r="F5" i="2"/>
  <c r="G5" i="2"/>
  <c r="H5" i="2"/>
  <c r="I5" i="2"/>
  <c r="J5" i="2"/>
  <c r="K5" i="2"/>
  <c r="L5" i="2"/>
  <c r="M5" i="2"/>
  <c r="D4" i="2"/>
  <c r="E4" i="2"/>
  <c r="F4" i="2"/>
  <c r="G4" i="2"/>
  <c r="H4" i="2"/>
  <c r="I4" i="2"/>
  <c r="J4" i="2"/>
  <c r="K4" i="2"/>
  <c r="L4" i="2"/>
  <c r="M4" i="2"/>
  <c r="C4" i="2"/>
  <c r="C5" i="2"/>
  <c r="I124" i="2"/>
  <c r="H124" i="2"/>
  <c r="G124" i="2"/>
  <c r="F124" i="2"/>
  <c r="E124" i="2"/>
  <c r="D124" i="2"/>
  <c r="C124" i="2"/>
  <c r="I113" i="2"/>
  <c r="H113" i="2"/>
  <c r="G113" i="2"/>
  <c r="F113" i="2"/>
  <c r="E113" i="2"/>
  <c r="D113" i="2"/>
  <c r="C113" i="2"/>
  <c r="I102" i="2"/>
  <c r="H102" i="2"/>
  <c r="G102" i="2"/>
  <c r="F102" i="2"/>
  <c r="E102" i="2"/>
  <c r="D102" i="2"/>
  <c r="C102" i="2"/>
  <c r="D12" i="2"/>
  <c r="C12" i="2"/>
  <c r="C11" i="2"/>
  <c r="C10" i="2"/>
  <c r="C9" i="2"/>
  <c r="C8" i="2"/>
  <c r="C7" i="2"/>
  <c r="C6" i="2"/>
</calcChain>
</file>

<file path=xl/sharedStrings.xml><?xml version="1.0" encoding="utf-8"?>
<sst xmlns="http://schemas.openxmlformats.org/spreadsheetml/2006/main" count="243" uniqueCount="85">
  <si>
    <t>Extract of the Economy-wide DB TAB relevant rows for this sub-sector</t>
  </si>
  <si>
    <t>MtCO2</t>
  </si>
  <si>
    <t>MtCO2e</t>
  </si>
  <si>
    <t>TOTAL CO2 captured and stored</t>
  </si>
  <si>
    <r>
      <t xml:space="preserve">MtCO2 captured &amp; stored </t>
    </r>
    <r>
      <rPr>
        <i/>
        <sz val="11"/>
        <rFont val="Aptos Narrow"/>
        <family val="2"/>
        <scheme val="minor"/>
      </rPr>
      <t>(positive values)</t>
    </r>
  </si>
  <si>
    <t>Variable</t>
  </si>
  <si>
    <t>Unit</t>
  </si>
  <si>
    <t>GDP - Energy industries (power, extractive energy industries &amp; other energy industries)</t>
  </si>
  <si>
    <t>Passenger Transport</t>
  </si>
  <si>
    <t>TWh</t>
  </si>
  <si>
    <t>Freight Transport</t>
  </si>
  <si>
    <t>Residential buildings</t>
  </si>
  <si>
    <t>Commercial buidlings</t>
  </si>
  <si>
    <r>
      <t xml:space="preserve">Industry </t>
    </r>
    <r>
      <rPr>
        <sz val="11"/>
        <rFont val="Calibri (Body)_x0000_"/>
      </rPr>
      <t>(EII)</t>
    </r>
  </si>
  <si>
    <t>Industry (light industry)</t>
  </si>
  <si>
    <t>Agriculture</t>
  </si>
  <si>
    <t>Power</t>
  </si>
  <si>
    <t>Estimated CO2 captured and stored</t>
  </si>
  <si>
    <t>EJ</t>
  </si>
  <si>
    <t>Energy production per "GDP-Energy industries" unit</t>
  </si>
  <si>
    <t>MJ /2015 USD</t>
  </si>
  <si>
    <t>CO2 energy-related emissions per energy unit produced</t>
  </si>
  <si>
    <t xml:space="preserve">gCO2/MJ </t>
  </si>
  <si>
    <t>Energy production (including distribution losses)</t>
  </si>
  <si>
    <t xml:space="preserve">PJ </t>
  </si>
  <si>
    <t>Energy consumption of extractive industries (onsite self-consumption and external power from the grid)</t>
  </si>
  <si>
    <t>Total energy-related CO2 emissions from combustion in extractive activities</t>
  </si>
  <si>
    <t>Total energy-related non-CO2 emissions from combustion in extractive activities</t>
  </si>
  <si>
    <t>Total energy-related fugitive CO2 emissions in extractive activities</t>
  </si>
  <si>
    <t>Total energy-related fugitive non-CO2 emissions in extractive activities</t>
  </si>
  <si>
    <t>Bn USD</t>
  </si>
  <si>
    <t>Total Production : crude oil, natural gas &amp; coal (including on-site self-consumption)</t>
  </si>
  <si>
    <t>Total crude oil</t>
  </si>
  <si>
    <t>Mt</t>
  </si>
  <si>
    <t>Total natural gas</t>
  </si>
  <si>
    <t>Nm3</t>
  </si>
  <si>
    <t>Total coal</t>
  </si>
  <si>
    <t>Imports &amp; Exports balance</t>
  </si>
  <si>
    <t>Imports</t>
  </si>
  <si>
    <t>Exports</t>
  </si>
  <si>
    <t>Activity-related indicators &amp; emissions</t>
  </si>
  <si>
    <t>Assets</t>
  </si>
  <si>
    <t>Number of crude oil well in activity</t>
  </si>
  <si>
    <t>nb</t>
  </si>
  <si>
    <t>Number of natural gas well in activity</t>
  </si>
  <si>
    <t>Number of coal mines in activity</t>
  </si>
  <si>
    <t xml:space="preserve">Maximum yearly crude oil production capacity </t>
  </si>
  <si>
    <t>Mt/year</t>
  </si>
  <si>
    <t xml:space="preserve">Maximum yearly natural gas production capacity </t>
  </si>
  <si>
    <t>Nm3/year</t>
  </si>
  <si>
    <t xml:space="preserve">Maximum yearly coal capacity </t>
  </si>
  <si>
    <t>EJ/year</t>
  </si>
  <si>
    <t>Total activity-related energy consumption : onsite self-consumption and external power from the grid</t>
  </si>
  <si>
    <t>Energy consumption from power generation sector</t>
  </si>
  <si>
    <t xml:space="preserve"> - of which crude oil &amp; natural gas extraction</t>
  </si>
  <si>
    <t xml:space="preserve"> - of which coal extraction</t>
  </si>
  <si>
    <t>Energy consumption from on-site combustion (self-consumption)</t>
  </si>
  <si>
    <t>Total GHG emissions - without counting CCS</t>
  </si>
  <si>
    <t>TOTAL Combustion CO2 emissions from energy consumption</t>
  </si>
  <si>
    <t>Combustion non-CO2 emissions from energy consumption</t>
  </si>
  <si>
    <t>MtCO2eq</t>
  </si>
  <si>
    <t>Fugitive CO2 emissions</t>
  </si>
  <si>
    <t>Fugitive non-CO2 emissions (CH4 mostly)</t>
  </si>
  <si>
    <t xml:space="preserve"> - of which from oil &amp; gas extraction</t>
  </si>
  <si>
    <t xml:space="preserve"> - of which from coal extraction</t>
  </si>
  <si>
    <t>Oil &amp; Gas details</t>
  </si>
  <si>
    <t>Activity-related energy consumption</t>
  </si>
  <si>
    <t xml:space="preserve"> - of which crude oil extraction</t>
  </si>
  <si>
    <t xml:space="preserve"> - of which natural gas extraction</t>
  </si>
  <si>
    <t>Activity-related GHG emissions</t>
  </si>
  <si>
    <t>Combustion CO2 emissions from energy consumption</t>
  </si>
  <si>
    <t>National consumption</t>
  </si>
  <si>
    <t>National consumption, for energy &amp; non-energy uses</t>
  </si>
  <si>
    <t>Crude oil for energy use</t>
  </si>
  <si>
    <t>Crude oil for non-energy use</t>
  </si>
  <si>
    <t>Raw NG for energy use</t>
  </si>
  <si>
    <t>Raw NG for non-energy use</t>
  </si>
  <si>
    <t>Raw Coal for energy use</t>
  </si>
  <si>
    <t>Raw Coal for non-energy use</t>
  </si>
  <si>
    <t>National consumption by end-use sectors</t>
  </si>
  <si>
    <t>Extractive energy industries (self-consumption)</t>
  </si>
  <si>
    <t xml:space="preserve">Other energy industries </t>
  </si>
  <si>
    <t>Total raw natural gas</t>
  </si>
  <si>
    <t>Total raw coal</t>
  </si>
  <si>
    <t>EXTRACTIVE ENERGY INDUSTRIES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</si>
</sst>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 (Body)_x0000_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3" fillId="5" borderId="0" xfId="0" applyFont="1" applyFill="1"/>
    <xf numFmtId="0" fontId="2" fillId="5" borderId="0" xfId="0" applyFont="1" applyFill="1"/>
    <xf numFmtId="0" fontId="4" fillId="6" borderId="0" xfId="0" applyFont="1" applyFill="1"/>
    <xf numFmtId="0" fontId="0" fillId="6" borderId="0" xfId="0" applyFill="1" applyAlignment="1">
      <alignment horizontal="left" wrapText="1"/>
    </xf>
    <xf numFmtId="0" fontId="0" fillId="6" borderId="0" xfId="0" applyFill="1"/>
    <xf numFmtId="0" fontId="4" fillId="6" borderId="0" xfId="0" quotePrefix="1" applyFont="1" applyFill="1"/>
    <xf numFmtId="0" fontId="6" fillId="0" borderId="1" xfId="0" applyFont="1" applyBorder="1"/>
    <xf numFmtId="0" fontId="3" fillId="7" borderId="0" xfId="0" applyFont="1" applyFill="1"/>
    <xf numFmtId="0" fontId="0" fillId="8" borderId="0" xfId="0" applyFill="1"/>
    <xf numFmtId="0" fontId="3" fillId="9" borderId="0" xfId="0" applyFont="1" applyFill="1"/>
    <xf numFmtId="0" fontId="0" fillId="3" borderId="0" xfId="0" applyFill="1"/>
    <xf numFmtId="1" fontId="0" fillId="3" borderId="0" xfId="0" applyNumberFormat="1" applyFill="1"/>
    <xf numFmtId="0" fontId="8" fillId="0" borderId="0" xfId="0" applyFont="1"/>
    <xf numFmtId="0" fontId="0" fillId="6" borderId="0" xfId="0" applyFill="1" applyAlignment="1">
      <alignment wrapText="1"/>
    </xf>
    <xf numFmtId="0" fontId="4" fillId="6" borderId="0" xfId="0" quotePrefix="1" applyFont="1" applyFill="1" applyAlignment="1">
      <alignment wrapText="1"/>
    </xf>
    <xf numFmtId="0" fontId="4" fillId="6" borderId="0" xfId="0" applyFont="1" applyFill="1" applyAlignment="1">
      <alignment wrapText="1"/>
    </xf>
    <xf numFmtId="0" fontId="9" fillId="6" borderId="0" xfId="0" applyFont="1" applyFill="1"/>
    <xf numFmtId="0" fontId="4" fillId="0" borderId="0" xfId="0" applyFont="1"/>
    <xf numFmtId="0" fontId="6" fillId="0" borderId="1" xfId="0" applyFont="1" applyFill="1" applyBorder="1" applyAlignment="1">
      <alignment wrapText="1"/>
    </xf>
    <xf numFmtId="0" fontId="2" fillId="4" borderId="0" xfId="0" applyFont="1" applyFill="1" applyBorder="1"/>
    <xf numFmtId="0" fontId="0" fillId="4" borderId="0" xfId="0" applyFill="1" applyBorder="1"/>
    <xf numFmtId="0" fontId="4" fillId="6" borderId="0" xfId="0" applyFont="1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62CD-08CF-AC4E-B75E-6BE4FA894E0D}">
  <sheetPr>
    <tabColor theme="9" tint="-0.499984740745262"/>
  </sheetPr>
  <dimension ref="A1:M135"/>
  <sheetViews>
    <sheetView tabSelected="1" zoomScale="110" zoomScaleNormal="110" workbookViewId="0">
      <selection activeCell="A28" sqref="A28"/>
    </sheetView>
  </sheetViews>
  <sheetFormatPr baseColWidth="10" defaultRowHeight="15"/>
  <cols>
    <col min="1" max="1" width="69.5" customWidth="1"/>
    <col min="2" max="2" width="33.83203125" customWidth="1"/>
    <col min="9" max="9" width="15.83203125" customWidth="1"/>
    <col min="10" max="10" width="14.1640625" customWidth="1"/>
  </cols>
  <sheetData>
    <row r="1" spans="1:13" ht="16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4"/>
    </row>
    <row r="3" spans="1:13">
      <c r="A3" s="2" t="s">
        <v>0</v>
      </c>
      <c r="B3" s="3"/>
      <c r="C3" s="3">
        <v>2014</v>
      </c>
      <c r="D3" s="3">
        <v>2015</v>
      </c>
      <c r="E3" s="3">
        <v>2016</v>
      </c>
      <c r="F3" s="3">
        <v>2017</v>
      </c>
      <c r="G3" s="3">
        <v>2018</v>
      </c>
      <c r="H3" s="3">
        <v>2019</v>
      </c>
      <c r="I3" s="3">
        <v>2020</v>
      </c>
      <c r="J3" s="3">
        <v>2021</v>
      </c>
      <c r="K3" s="3">
        <v>2022</v>
      </c>
      <c r="L3" s="3">
        <v>2023</v>
      </c>
      <c r="M3" s="3">
        <v>2024</v>
      </c>
    </row>
    <row r="4" spans="1:13">
      <c r="A4" s="4" t="s">
        <v>19</v>
      </c>
      <c r="B4" s="6" t="s">
        <v>20</v>
      </c>
      <c r="C4" s="13">
        <f>IFERROR((SUM(C22:C24)*10^9)/(C17*10^9),0)</f>
        <v>0</v>
      </c>
      <c r="D4" s="13">
        <f t="shared" ref="D4:M4" si="0">IFERROR((SUM(D22:D24)*10^9)/(D17*10^9),0)</f>
        <v>0</v>
      </c>
      <c r="E4" s="13">
        <f t="shared" si="0"/>
        <v>0</v>
      </c>
      <c r="F4" s="13">
        <f t="shared" si="0"/>
        <v>0</v>
      </c>
      <c r="G4" s="13">
        <f t="shared" si="0"/>
        <v>0</v>
      </c>
      <c r="H4" s="13">
        <f t="shared" si="0"/>
        <v>0</v>
      </c>
      <c r="I4" s="13">
        <f t="shared" si="0"/>
        <v>0</v>
      </c>
      <c r="J4" s="13">
        <f t="shared" si="0"/>
        <v>0</v>
      </c>
      <c r="K4" s="13">
        <f t="shared" si="0"/>
        <v>0</v>
      </c>
      <c r="L4" s="13">
        <f t="shared" si="0"/>
        <v>0</v>
      </c>
      <c r="M4" s="13">
        <f t="shared" si="0"/>
        <v>0</v>
      </c>
    </row>
    <row r="5" spans="1:13">
      <c r="A5" s="4" t="s">
        <v>21</v>
      </c>
      <c r="B5" s="6" t="s">
        <v>22</v>
      </c>
      <c r="C5" s="13">
        <f>IFERROR(C56+C62/(SUM(C22:C24)),0)</f>
        <v>0</v>
      </c>
      <c r="D5" s="13">
        <f t="shared" ref="D5:M5" si="1">IFERROR(D56+D62/(SUM(D22:D24)),0)</f>
        <v>0</v>
      </c>
      <c r="E5" s="13">
        <f t="shared" si="1"/>
        <v>0</v>
      </c>
      <c r="F5" s="13">
        <f t="shared" si="1"/>
        <v>0</v>
      </c>
      <c r="G5" s="13">
        <f t="shared" si="1"/>
        <v>0</v>
      </c>
      <c r="H5" s="13">
        <f t="shared" si="1"/>
        <v>0</v>
      </c>
      <c r="I5" s="13">
        <f t="shared" si="1"/>
        <v>0</v>
      </c>
      <c r="J5" s="13">
        <f t="shared" si="1"/>
        <v>0</v>
      </c>
      <c r="K5" s="13">
        <f t="shared" si="1"/>
        <v>0</v>
      </c>
      <c r="L5" s="13">
        <f t="shared" si="1"/>
        <v>0</v>
      </c>
      <c r="M5" s="13">
        <f t="shared" si="1"/>
        <v>0</v>
      </c>
    </row>
    <row r="6" spans="1:13">
      <c r="A6" s="4" t="s">
        <v>23</v>
      </c>
      <c r="B6" s="6" t="s">
        <v>24</v>
      </c>
      <c r="C6" s="13">
        <f>SUM(C22:C24)*10^3</f>
        <v>0</v>
      </c>
      <c r="D6" s="13">
        <f t="shared" ref="D6:M6" si="2">SUM(D22:D24)*10^3</f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13">
        <f t="shared" si="2"/>
        <v>0</v>
      </c>
      <c r="I6" s="13">
        <f t="shared" si="2"/>
        <v>0</v>
      </c>
      <c r="J6" s="13">
        <f t="shared" si="2"/>
        <v>0</v>
      </c>
      <c r="K6" s="13">
        <f t="shared" si="2"/>
        <v>0</v>
      </c>
      <c r="L6" s="13">
        <f t="shared" si="2"/>
        <v>0</v>
      </c>
      <c r="M6" s="13">
        <f t="shared" si="2"/>
        <v>0</v>
      </c>
    </row>
    <row r="7" spans="1:13" ht="12" customHeight="1">
      <c r="A7" s="4" t="s">
        <v>25</v>
      </c>
      <c r="B7" s="6" t="s">
        <v>24</v>
      </c>
      <c r="C7" s="13">
        <f>(C49*0.0036+C52)*10^3</f>
        <v>0</v>
      </c>
      <c r="D7" s="13">
        <f t="shared" ref="D7:M7" si="3">(D49*0.0036+D52)*10^3</f>
        <v>0</v>
      </c>
      <c r="E7" s="13">
        <f t="shared" si="3"/>
        <v>0</v>
      </c>
      <c r="F7" s="13">
        <f t="shared" si="3"/>
        <v>0</v>
      </c>
      <c r="G7" s="13">
        <f t="shared" si="3"/>
        <v>0</v>
      </c>
      <c r="H7" s="13">
        <f t="shared" si="3"/>
        <v>0</v>
      </c>
      <c r="I7" s="13">
        <f t="shared" si="3"/>
        <v>0</v>
      </c>
      <c r="J7" s="13">
        <f t="shared" si="3"/>
        <v>0</v>
      </c>
      <c r="K7" s="13">
        <f t="shared" si="3"/>
        <v>0</v>
      </c>
      <c r="L7" s="13">
        <f t="shared" si="3"/>
        <v>0</v>
      </c>
      <c r="M7" s="13">
        <f t="shared" si="3"/>
        <v>0</v>
      </c>
    </row>
    <row r="8" spans="1:13" ht="16">
      <c r="A8" s="5" t="s">
        <v>26</v>
      </c>
      <c r="B8" s="6" t="s">
        <v>1</v>
      </c>
      <c r="C8" s="13">
        <f>C56</f>
        <v>0</v>
      </c>
      <c r="D8" s="13">
        <f t="shared" ref="D8:M8" si="4">D56</f>
        <v>0</v>
      </c>
      <c r="E8" s="13">
        <f t="shared" si="4"/>
        <v>0</v>
      </c>
      <c r="F8" s="13">
        <f t="shared" si="4"/>
        <v>0</v>
      </c>
      <c r="G8" s="13">
        <f t="shared" si="4"/>
        <v>0</v>
      </c>
      <c r="H8" s="13">
        <f t="shared" si="4"/>
        <v>0</v>
      </c>
      <c r="I8" s="13">
        <f t="shared" si="4"/>
        <v>0</v>
      </c>
      <c r="J8" s="13">
        <f t="shared" si="4"/>
        <v>0</v>
      </c>
      <c r="K8" s="13">
        <f t="shared" si="4"/>
        <v>0</v>
      </c>
      <c r="L8" s="13">
        <f t="shared" si="4"/>
        <v>0</v>
      </c>
      <c r="M8" s="13">
        <f t="shared" si="4"/>
        <v>0</v>
      </c>
    </row>
    <row r="9" spans="1:13" ht="16">
      <c r="A9" s="5" t="s">
        <v>27</v>
      </c>
      <c r="B9" s="6" t="s">
        <v>2</v>
      </c>
      <c r="C9" s="13">
        <f>C59</f>
        <v>0</v>
      </c>
      <c r="D9" s="13">
        <f t="shared" ref="D9:M9" si="5">D59</f>
        <v>0</v>
      </c>
      <c r="E9" s="13">
        <f t="shared" si="5"/>
        <v>0</v>
      </c>
      <c r="F9" s="13">
        <f t="shared" si="5"/>
        <v>0</v>
      </c>
      <c r="G9" s="13">
        <f t="shared" si="5"/>
        <v>0</v>
      </c>
      <c r="H9" s="13">
        <f t="shared" si="5"/>
        <v>0</v>
      </c>
      <c r="I9" s="13">
        <f t="shared" si="5"/>
        <v>0</v>
      </c>
      <c r="J9" s="13">
        <f t="shared" si="5"/>
        <v>0</v>
      </c>
      <c r="K9" s="13">
        <f t="shared" si="5"/>
        <v>0</v>
      </c>
      <c r="L9" s="13">
        <f t="shared" si="5"/>
        <v>0</v>
      </c>
      <c r="M9" s="13">
        <f t="shared" si="5"/>
        <v>0</v>
      </c>
    </row>
    <row r="10" spans="1:13" ht="16">
      <c r="A10" s="15" t="s">
        <v>28</v>
      </c>
      <c r="B10" s="6" t="s">
        <v>1</v>
      </c>
      <c r="C10" s="13">
        <f>C62</f>
        <v>0</v>
      </c>
      <c r="D10" s="13">
        <f t="shared" ref="D10:M10" si="6">D62</f>
        <v>0</v>
      </c>
      <c r="E10" s="13">
        <f t="shared" si="6"/>
        <v>0</v>
      </c>
      <c r="F10" s="13">
        <f t="shared" si="6"/>
        <v>0</v>
      </c>
      <c r="G10" s="13">
        <f t="shared" si="6"/>
        <v>0</v>
      </c>
      <c r="H10" s="13">
        <f t="shared" si="6"/>
        <v>0</v>
      </c>
      <c r="I10" s="13">
        <f t="shared" si="6"/>
        <v>0</v>
      </c>
      <c r="J10" s="13">
        <f t="shared" si="6"/>
        <v>0</v>
      </c>
      <c r="K10" s="13">
        <f t="shared" si="6"/>
        <v>0</v>
      </c>
      <c r="L10" s="13">
        <f t="shared" si="6"/>
        <v>0</v>
      </c>
      <c r="M10" s="13">
        <f t="shared" si="6"/>
        <v>0</v>
      </c>
    </row>
    <row r="11" spans="1:13" ht="16">
      <c r="A11" s="15" t="s">
        <v>29</v>
      </c>
      <c r="B11" s="6" t="s">
        <v>2</v>
      </c>
      <c r="C11" s="13">
        <f>C65</f>
        <v>0</v>
      </c>
      <c r="D11" s="13">
        <f t="shared" ref="D11:M11" si="7">D65</f>
        <v>0</v>
      </c>
      <c r="E11" s="13">
        <f t="shared" si="7"/>
        <v>0</v>
      </c>
      <c r="F11" s="13">
        <f t="shared" si="7"/>
        <v>0</v>
      </c>
      <c r="G11" s="13">
        <f t="shared" si="7"/>
        <v>0</v>
      </c>
      <c r="H11" s="13">
        <f t="shared" si="7"/>
        <v>0</v>
      </c>
      <c r="I11" s="13">
        <f t="shared" si="7"/>
        <v>0</v>
      </c>
      <c r="J11" s="13">
        <f t="shared" si="7"/>
        <v>0</v>
      </c>
      <c r="K11" s="13">
        <f t="shared" si="7"/>
        <v>0</v>
      </c>
      <c r="L11" s="13">
        <f t="shared" si="7"/>
        <v>0</v>
      </c>
      <c r="M11" s="13">
        <f t="shared" si="7"/>
        <v>0</v>
      </c>
    </row>
    <row r="12" spans="1:13">
      <c r="A12" s="6" t="s">
        <v>3</v>
      </c>
      <c r="B12" s="7" t="s">
        <v>4</v>
      </c>
      <c r="C12" s="13">
        <f>C69</f>
        <v>0</v>
      </c>
      <c r="D12" s="13">
        <f t="shared" ref="D12:M12" si="8">D69</f>
        <v>0</v>
      </c>
      <c r="E12" s="13">
        <f t="shared" si="8"/>
        <v>0</v>
      </c>
      <c r="F12" s="13">
        <f t="shared" si="8"/>
        <v>0</v>
      </c>
      <c r="G12" s="13">
        <f t="shared" si="8"/>
        <v>0</v>
      </c>
      <c r="H12" s="13">
        <f t="shared" si="8"/>
        <v>0</v>
      </c>
      <c r="I12" s="13">
        <f t="shared" si="8"/>
        <v>0</v>
      </c>
      <c r="J12" s="13">
        <f t="shared" si="8"/>
        <v>0</v>
      </c>
      <c r="K12" s="13">
        <f t="shared" si="8"/>
        <v>0</v>
      </c>
      <c r="L12" s="13">
        <f t="shared" si="8"/>
        <v>0</v>
      </c>
      <c r="M12" s="13">
        <f t="shared" si="8"/>
        <v>0</v>
      </c>
    </row>
    <row r="13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21"/>
      <c r="B14" s="21"/>
      <c r="C14" s="21"/>
      <c r="D14" s="21"/>
      <c r="E14" s="21"/>
      <c r="F14" s="21"/>
      <c r="G14" s="21"/>
      <c r="H14" s="21"/>
      <c r="I14" s="21"/>
      <c r="J14" s="22"/>
      <c r="K14" s="22"/>
      <c r="L14" s="22"/>
      <c r="M14" s="22"/>
    </row>
    <row r="15" spans="1:1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2"/>
    </row>
    <row r="16" spans="1:13">
      <c r="A16" s="8" t="s">
        <v>5</v>
      </c>
      <c r="B16" s="8" t="s">
        <v>6</v>
      </c>
      <c r="C16" s="8">
        <v>2014</v>
      </c>
      <c r="D16" s="20">
        <v>2015</v>
      </c>
      <c r="E16" s="8">
        <v>2016</v>
      </c>
      <c r="F16" s="20">
        <v>2017</v>
      </c>
      <c r="G16" s="8">
        <v>2018</v>
      </c>
      <c r="H16" s="20">
        <v>2019</v>
      </c>
      <c r="I16" s="8">
        <v>2020</v>
      </c>
      <c r="J16" s="20">
        <v>2021</v>
      </c>
      <c r="K16" s="8">
        <v>2022</v>
      </c>
      <c r="L16" s="20">
        <v>2023</v>
      </c>
      <c r="M16" s="8">
        <v>2024</v>
      </c>
    </row>
    <row r="17" spans="1:13">
      <c r="A17" s="4" t="s">
        <v>7</v>
      </c>
      <c r="B17" s="4" t="s">
        <v>30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>
      <c r="A18" s="9" t="s">
        <v>31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>
      <c r="A19" s="4" t="s">
        <v>32</v>
      </c>
      <c r="B19" s="4" t="s">
        <v>33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>
      <c r="A20" s="4" t="s">
        <v>34</v>
      </c>
      <c r="B20" s="4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>
      <c r="A21" s="4" t="s">
        <v>36</v>
      </c>
      <c r="B21" s="4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>
      <c r="A22" s="4" t="s">
        <v>32</v>
      </c>
      <c r="B22" s="4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>
      <c r="A23" s="4" t="s">
        <v>34</v>
      </c>
      <c r="B23" s="4" t="s">
        <v>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>
      <c r="A24" s="4" t="s">
        <v>36</v>
      </c>
      <c r="B24" s="4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>
      <c r="A25" s="9" t="s">
        <v>37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>
      <c r="A26" s="11" t="s">
        <v>38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>
      <c r="A27" s="4" t="s">
        <v>32</v>
      </c>
      <c r="B27" s="4" t="s">
        <v>33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>
      <c r="A28" s="4" t="s">
        <v>34</v>
      </c>
      <c r="B28" s="4" t="s">
        <v>35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>
      <c r="A29" s="4" t="s">
        <v>36</v>
      </c>
      <c r="B29" s="4" t="s">
        <v>33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>
      <c r="A30" s="4" t="s">
        <v>32</v>
      </c>
      <c r="B30" s="4" t="s">
        <v>18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>
      <c r="A31" s="4" t="s">
        <v>34</v>
      </c>
      <c r="B31" s="4" t="s">
        <v>18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>
      <c r="A32" s="4" t="s">
        <v>36</v>
      </c>
      <c r="B32" s="4" t="s">
        <v>18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>
      <c r="A33" s="11" t="s">
        <v>39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>
      <c r="A34" s="4" t="s">
        <v>32</v>
      </c>
      <c r="B34" s="4" t="s">
        <v>33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>
      <c r="A35" s="4" t="s">
        <v>34</v>
      </c>
      <c r="B35" s="4" t="s">
        <v>35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>
      <c r="A36" s="4" t="s">
        <v>36</v>
      </c>
      <c r="B36" s="4" t="s">
        <v>33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>
      <c r="A37" s="4" t="s">
        <v>32</v>
      </c>
      <c r="B37" s="4" t="s">
        <v>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>
      <c r="A38" s="4" t="s">
        <v>34</v>
      </c>
      <c r="B38" s="4" t="s">
        <v>18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>
      <c r="A39" s="4" t="s">
        <v>36</v>
      </c>
      <c r="B39" s="4" t="s">
        <v>18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>
      <c r="A40" s="9" t="s">
        <v>40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>
      <c r="A41" s="11" t="s">
        <v>41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6">
      <c r="A42" s="4" t="s">
        <v>42</v>
      </c>
      <c r="B42" s="16" t="s">
        <v>43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6">
      <c r="A43" s="4" t="s">
        <v>44</v>
      </c>
      <c r="B43" s="16" t="s">
        <v>43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6">
      <c r="A44" s="4" t="s">
        <v>45</v>
      </c>
      <c r="B44" s="16" t="s">
        <v>43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16">
      <c r="A45" s="4" t="s">
        <v>46</v>
      </c>
      <c r="B45" s="17" t="s">
        <v>47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16">
      <c r="A46" s="4" t="s">
        <v>48</v>
      </c>
      <c r="B46" s="17" t="s">
        <v>49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16">
      <c r="A47" s="4" t="s">
        <v>50</v>
      </c>
      <c r="B47" s="17" t="s">
        <v>51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>
      <c r="A48" s="11" t="s">
        <v>52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>
      <c r="A49" s="4" t="s">
        <v>53</v>
      </c>
      <c r="B49" s="4" t="s">
        <v>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6">
      <c r="A50" s="16" t="s">
        <v>54</v>
      </c>
      <c r="B50" s="4" t="s">
        <v>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6">
      <c r="A51" s="16" t="s">
        <v>55</v>
      </c>
      <c r="B51" s="4" t="s">
        <v>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>
      <c r="A52" s="4" t="s">
        <v>56</v>
      </c>
      <c r="B52" s="4" t="s">
        <v>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6">
      <c r="A53" s="16" t="s">
        <v>54</v>
      </c>
      <c r="B53" s="4" t="s">
        <v>18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6">
      <c r="A54" s="16" t="s">
        <v>55</v>
      </c>
      <c r="B54" s="4" t="s">
        <v>18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>
      <c r="A55" s="11" t="s">
        <v>57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6">
      <c r="A56" s="17" t="s">
        <v>58</v>
      </c>
      <c r="B56" s="17" t="s">
        <v>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16">
      <c r="A57" s="16" t="s">
        <v>54</v>
      </c>
      <c r="B57" s="17" t="s">
        <v>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16">
      <c r="A58" s="16" t="s">
        <v>55</v>
      </c>
      <c r="B58" s="17" t="s">
        <v>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16">
      <c r="A59" s="17" t="s">
        <v>59</v>
      </c>
      <c r="B59" s="17" t="s">
        <v>60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6">
      <c r="A60" s="16" t="s">
        <v>54</v>
      </c>
      <c r="B60" s="17" t="s">
        <v>60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16">
      <c r="A61" s="16" t="s">
        <v>55</v>
      </c>
      <c r="B61" s="17" t="s">
        <v>60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16">
      <c r="A62" s="17" t="s">
        <v>61</v>
      </c>
      <c r="B62" s="17" t="s"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16">
      <c r="A63" s="16" t="s">
        <v>54</v>
      </c>
      <c r="B63" s="17" t="s">
        <v>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6">
      <c r="A64" s="16" t="s">
        <v>55</v>
      </c>
      <c r="B64" s="17" t="s">
        <v>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16">
      <c r="A65" s="17" t="s">
        <v>62</v>
      </c>
      <c r="B65" s="17" t="s">
        <v>60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6">
      <c r="A66" s="16" t="s">
        <v>54</v>
      </c>
      <c r="B66" s="17" t="s">
        <v>60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ht="16">
      <c r="A67" s="16" t="s">
        <v>55</v>
      </c>
      <c r="B67" s="17" t="s">
        <v>60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>
      <c r="A68" s="11" t="s">
        <v>17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>
      <c r="A69" s="6" t="s">
        <v>3</v>
      </c>
      <c r="B69" s="7" t="s">
        <v>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6">
      <c r="A70" s="16" t="s">
        <v>63</v>
      </c>
      <c r="B70" s="7" t="s">
        <v>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16">
      <c r="A71" s="16" t="s">
        <v>64</v>
      </c>
      <c r="B71" s="7" t="s">
        <v>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>
      <c r="A72" s="9" t="s">
        <v>65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>
      <c r="A73" s="11" t="s">
        <v>66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>
      <c r="A74" s="4" t="s">
        <v>53</v>
      </c>
      <c r="B74" s="4" t="s">
        <v>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ht="16">
      <c r="A75" s="16" t="s">
        <v>67</v>
      </c>
      <c r="B75" s="4" t="s">
        <v>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ht="16">
      <c r="A76" s="16" t="s">
        <v>68</v>
      </c>
      <c r="B76" s="4" t="s">
        <v>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>
      <c r="A77" s="4" t="s">
        <v>56</v>
      </c>
      <c r="B77" s="4" t="s">
        <v>18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ht="16">
      <c r="A78" s="16" t="s">
        <v>67</v>
      </c>
      <c r="B78" s="4" t="s">
        <v>18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16">
      <c r="A79" s="16" t="s">
        <v>68</v>
      </c>
      <c r="B79" s="4" t="s">
        <v>18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>
      <c r="A80" s="11" t="s">
        <v>69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16">
      <c r="A81" s="17" t="s">
        <v>70</v>
      </c>
      <c r="B81" s="17" t="s"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ht="16">
      <c r="A82" s="16" t="s">
        <v>67</v>
      </c>
      <c r="B82" s="17" t="s"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16">
      <c r="A83" s="16" t="s">
        <v>68</v>
      </c>
      <c r="B83" s="17" t="s"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ht="16">
      <c r="A84" s="17" t="s">
        <v>59</v>
      </c>
      <c r="B84" s="17" t="s">
        <v>60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ht="16">
      <c r="A85" s="16" t="s">
        <v>67</v>
      </c>
      <c r="B85" s="17" t="s">
        <v>60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ht="16">
      <c r="A86" s="16" t="s">
        <v>68</v>
      </c>
      <c r="B86" s="17" t="s">
        <v>60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ht="16">
      <c r="A87" s="4" t="s">
        <v>61</v>
      </c>
      <c r="B87" s="17" t="s"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ht="16">
      <c r="A88" s="16" t="s">
        <v>67</v>
      </c>
      <c r="B88" s="17" t="s"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16">
      <c r="A89" s="16" t="s">
        <v>68</v>
      </c>
      <c r="B89" s="17" t="s"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ht="16">
      <c r="A90" s="4" t="s">
        <v>62</v>
      </c>
      <c r="B90" s="17" t="s">
        <v>60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ht="16">
      <c r="A91" s="16" t="s">
        <v>67</v>
      </c>
      <c r="B91" s="17" t="s">
        <v>60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spans="1:13" ht="16">
      <c r="A92" s="16" t="s">
        <v>68</v>
      </c>
      <c r="B92" s="17" t="s">
        <v>60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1:13">
      <c r="A93" s="9" t="s">
        <v>71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>
      <c r="A94" s="11" t="s">
        <v>72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>
      <c r="A95" s="4" t="s">
        <v>73</v>
      </c>
      <c r="B95" s="4" t="s">
        <v>33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>
      <c r="A96" s="4" t="s">
        <v>74</v>
      </c>
      <c r="B96" s="4" t="s">
        <v>33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spans="1:13">
      <c r="A97" s="4" t="s">
        <v>75</v>
      </c>
      <c r="B97" s="4" t="s">
        <v>35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>
      <c r="A98" s="4" t="s">
        <v>76</v>
      </c>
      <c r="B98" s="4" t="s">
        <v>35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>
      <c r="A99" s="4" t="s">
        <v>77</v>
      </c>
      <c r="B99" s="4" t="s">
        <v>33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>
      <c r="A100" s="4" t="s">
        <v>78</v>
      </c>
      <c r="B100" s="4" t="s">
        <v>33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>
      <c r="A101" s="11" t="s">
        <v>79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>
      <c r="A102" s="18" t="s">
        <v>32</v>
      </c>
      <c r="B102" s="4" t="s">
        <v>33</v>
      </c>
      <c r="C102" s="12">
        <f>SUM(C103:C112)</f>
        <v>0</v>
      </c>
      <c r="D102" s="12">
        <f t="shared" ref="D102:I102" si="9">SUM(D103:D112)</f>
        <v>0</v>
      </c>
      <c r="E102" s="12">
        <f t="shared" si="9"/>
        <v>0</v>
      </c>
      <c r="F102" s="12">
        <f t="shared" si="9"/>
        <v>0</v>
      </c>
      <c r="G102" s="12">
        <f t="shared" si="9"/>
        <v>0</v>
      </c>
      <c r="H102" s="12">
        <f t="shared" si="9"/>
        <v>0</v>
      </c>
      <c r="I102" s="12">
        <f t="shared" si="9"/>
        <v>0</v>
      </c>
      <c r="J102" s="12"/>
      <c r="K102" s="12"/>
      <c r="L102" s="12"/>
      <c r="M102" s="12"/>
    </row>
    <row r="103" spans="1:13">
      <c r="A103" s="23" t="s">
        <v>8</v>
      </c>
      <c r="B103" s="4" t="s">
        <v>33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spans="1:13">
      <c r="A104" s="23" t="s">
        <v>10</v>
      </c>
      <c r="B104" s="4" t="s">
        <v>33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>
      <c r="A105" s="23" t="s">
        <v>11</v>
      </c>
      <c r="B105" s="4" t="s">
        <v>33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>
      <c r="A106" s="23" t="s">
        <v>12</v>
      </c>
      <c r="B106" s="4" t="s">
        <v>33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>
      <c r="A107" s="23" t="s">
        <v>13</v>
      </c>
      <c r="B107" s="4" t="s">
        <v>33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>
      <c r="A108" s="23" t="s">
        <v>14</v>
      </c>
      <c r="B108" s="4" t="s">
        <v>33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>
      <c r="A109" s="23" t="s">
        <v>15</v>
      </c>
      <c r="B109" s="4" t="s">
        <v>33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spans="1:13">
      <c r="A110" s="23" t="s">
        <v>80</v>
      </c>
      <c r="B110" s="4" t="s">
        <v>33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spans="1:13">
      <c r="A111" s="23" t="s">
        <v>16</v>
      </c>
      <c r="B111" s="4" t="s">
        <v>33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spans="1:13">
      <c r="A112" s="23" t="s">
        <v>81</v>
      </c>
      <c r="B112" s="4" t="s">
        <v>33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spans="1:13">
      <c r="A113" s="18" t="s">
        <v>82</v>
      </c>
      <c r="B113" s="4" t="s">
        <v>35</v>
      </c>
      <c r="C113" s="12">
        <f>SUM(C114:C123)</f>
        <v>0</v>
      </c>
      <c r="D113" s="12">
        <f t="shared" ref="D113:I113" si="10">SUM(D114:D123)</f>
        <v>0</v>
      </c>
      <c r="E113" s="12">
        <f t="shared" si="10"/>
        <v>0</v>
      </c>
      <c r="F113" s="12">
        <f t="shared" si="10"/>
        <v>0</v>
      </c>
      <c r="G113" s="12">
        <f t="shared" si="10"/>
        <v>0</v>
      </c>
      <c r="H113" s="12">
        <f t="shared" si="10"/>
        <v>0</v>
      </c>
      <c r="I113" s="12">
        <f t="shared" si="10"/>
        <v>0</v>
      </c>
      <c r="J113" s="12"/>
      <c r="K113" s="12"/>
      <c r="L113" s="12"/>
      <c r="M113" s="12"/>
    </row>
    <row r="114" spans="1:13">
      <c r="A114" s="23" t="s">
        <v>8</v>
      </c>
      <c r="B114" s="4" t="s">
        <v>35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spans="1:13">
      <c r="A115" s="23" t="s">
        <v>10</v>
      </c>
      <c r="B115" s="4" t="s">
        <v>35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spans="1:13">
      <c r="A116" s="23" t="s">
        <v>11</v>
      </c>
      <c r="B116" s="4" t="s">
        <v>35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spans="1:13">
      <c r="A117" s="23" t="s">
        <v>12</v>
      </c>
      <c r="B117" s="4" t="s">
        <v>35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spans="1:13">
      <c r="A118" s="23" t="s">
        <v>13</v>
      </c>
      <c r="B118" s="4" t="s">
        <v>35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spans="1:13">
      <c r="A119" s="23" t="s">
        <v>14</v>
      </c>
      <c r="B119" s="4" t="s">
        <v>35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spans="1:13">
      <c r="A120" s="23" t="s">
        <v>15</v>
      </c>
      <c r="B120" s="4" t="s">
        <v>35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spans="1:13">
      <c r="A121" s="23" t="s">
        <v>80</v>
      </c>
      <c r="B121" s="4" t="s">
        <v>35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spans="1:13">
      <c r="A122" s="23" t="s">
        <v>16</v>
      </c>
      <c r="B122" s="4" t="s">
        <v>35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spans="1:13">
      <c r="A123" s="23" t="s">
        <v>81</v>
      </c>
      <c r="B123" s="4" t="s">
        <v>33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spans="1:13">
      <c r="A124" s="18" t="s">
        <v>83</v>
      </c>
      <c r="B124" s="4" t="s">
        <v>33</v>
      </c>
      <c r="C124" s="12">
        <f>SUM(C125:C134)</f>
        <v>0</v>
      </c>
      <c r="D124" s="12">
        <f t="shared" ref="D124:I124" si="11">SUM(D125:D134)</f>
        <v>0</v>
      </c>
      <c r="E124" s="12">
        <f t="shared" si="11"/>
        <v>0</v>
      </c>
      <c r="F124" s="12">
        <f t="shared" si="11"/>
        <v>0</v>
      </c>
      <c r="G124" s="12">
        <f t="shared" si="11"/>
        <v>0</v>
      </c>
      <c r="H124" s="12">
        <f t="shared" si="11"/>
        <v>0</v>
      </c>
      <c r="I124" s="12">
        <f t="shared" si="11"/>
        <v>0</v>
      </c>
      <c r="J124" s="12"/>
      <c r="K124" s="12"/>
      <c r="L124" s="12"/>
      <c r="M124" s="12"/>
    </row>
    <row r="125" spans="1:13">
      <c r="A125" s="23" t="s">
        <v>8</v>
      </c>
      <c r="B125" s="4" t="s">
        <v>33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spans="1:13">
      <c r="A126" s="23" t="s">
        <v>10</v>
      </c>
      <c r="B126" s="4" t="s">
        <v>33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spans="1:13">
      <c r="A127" s="23" t="s">
        <v>11</v>
      </c>
      <c r="B127" s="4" t="s">
        <v>33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spans="1:13">
      <c r="A128" s="23" t="s">
        <v>12</v>
      </c>
      <c r="B128" s="4" t="s">
        <v>33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spans="1:13">
      <c r="A129" s="23" t="s">
        <v>13</v>
      </c>
      <c r="B129" s="4" t="s">
        <v>33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spans="1:13">
      <c r="A130" s="23" t="s">
        <v>14</v>
      </c>
      <c r="B130" s="4" t="s">
        <v>33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spans="1:13">
      <c r="A131" s="23" t="s">
        <v>15</v>
      </c>
      <c r="B131" s="4" t="s">
        <v>33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spans="1:13">
      <c r="A132" s="23" t="s">
        <v>80</v>
      </c>
      <c r="B132" s="4" t="s">
        <v>33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spans="1:13">
      <c r="A133" s="23" t="s">
        <v>16</v>
      </c>
      <c r="B133" s="4" t="s">
        <v>33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spans="1:13">
      <c r="A134" s="23" t="s">
        <v>81</v>
      </c>
      <c r="B134" s="4" t="s">
        <v>33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spans="1:13">
      <c r="A135" s="19"/>
      <c r="B135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EXTRACTIVE ENERGY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Shoxruh Bobodjanov</dc:creator>
  <cp:lastModifiedBy>Shoxruh Bobodjanov</cp:lastModifiedBy>
  <dcterms:created xsi:type="dcterms:W3CDTF">2025-04-08T07:37:29Z</dcterms:created>
  <dcterms:modified xsi:type="dcterms:W3CDTF">2025-04-08T08:13:23Z</dcterms:modified>
</cp:coreProperties>
</file>