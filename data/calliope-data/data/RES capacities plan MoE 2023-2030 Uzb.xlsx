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urrent capacities"/>
    <sheet r:id="rId2" sheetId="2" name="Sheet2"/>
    <sheet r:id="rId3" sheetId="3" name="RES"/>
    <sheet r:id="rId4" sheetId="4" name="Hydroaccumulation (HAS)"/>
  </sheets>
  <calcPr fullCalcOnLoad="1"/>
</workbook>
</file>

<file path=xl/sharedStrings.xml><?xml version="1.0" encoding="utf-8"?>
<sst xmlns="http://schemas.openxmlformats.org/spreadsheetml/2006/main" count="394" uniqueCount="188">
  <si>
    <t>Duration</t>
  </si>
  <si>
    <t>Name</t>
  </si>
  <si>
    <t>Location</t>
  </si>
  <si>
    <t>Capacity</t>
  </si>
  <si>
    <t>Generation</t>
  </si>
  <si>
    <t>Project cost</t>
  </si>
  <si>
    <t>2024-2030</t>
  </si>
  <si>
    <t>Upper Pskem HAS</t>
  </si>
  <si>
    <t>Tashkent region</t>
  </si>
  <si>
    <t>600 MW</t>
  </si>
  <si>
    <t>1 050 MWh</t>
  </si>
  <si>
    <t>1 020 mln USD</t>
  </si>
  <si>
    <t>Khujakent HAS</t>
  </si>
  <si>
    <t>200 MW</t>
  </si>
  <si>
    <t>400 MWh</t>
  </si>
  <si>
    <t>320 mln USD</t>
  </si>
  <si>
    <t>2024-2031</t>
  </si>
  <si>
    <t>Karateren HAS</t>
  </si>
  <si>
    <t>Karakalpakistan republic</t>
  </si>
  <si>
    <t>500 MW</t>
  </si>
  <si>
    <t>900 MWh</t>
  </si>
  <si>
    <t>477 mln USD</t>
  </si>
  <si>
    <t>Aydarkul</t>
  </si>
  <si>
    <t>Djizzakh region</t>
  </si>
  <si>
    <t>300 MW</t>
  </si>
  <si>
    <t>450 MWh</t>
  </si>
  <si>
    <t>350 mln USD</t>
  </si>
  <si>
    <t xml:space="preserve">years </t>
  </si>
  <si>
    <t>Total capacity of the renewable energy stations</t>
  </si>
  <si>
    <t>capacity</t>
  </si>
  <si>
    <t>MW</t>
  </si>
  <si>
    <t>generation</t>
  </si>
  <si>
    <t>MWh</t>
  </si>
  <si>
    <t>Solar Power Stations (SPS)</t>
  </si>
  <si>
    <t>Ministry of Energy</t>
  </si>
  <si>
    <t>years</t>
  </si>
  <si>
    <t>GWh</t>
  </si>
  <si>
    <t>Wind Power Stations (WPS)</t>
  </si>
  <si>
    <t>Solar Power Stations</t>
  </si>
  <si>
    <t>Contract</t>
  </si>
  <si>
    <t>Karmana SPS
"Masdar"</t>
  </si>
  <si>
    <t>6 305 MW</t>
  </si>
  <si>
    <t>PPA</t>
  </si>
  <si>
    <t>Tutli SPS
"Total Energis"</t>
  </si>
  <si>
    <t>Samarkand SPS 
"Masdar"</t>
  </si>
  <si>
    <t>Jizzakh SPS 
"Masdar"</t>
  </si>
  <si>
    <t>Sherabad SPS 
"Masdar"</t>
  </si>
  <si>
    <t>Vodokanal SPS
"ACWA Power"</t>
  </si>
  <si>
    <t>Nurobod SPS
"ACWA Power"</t>
  </si>
  <si>
    <t>Olot SPS 
"Masdar"</t>
  </si>
  <si>
    <t>Khorazm SPS
"Voltalia"</t>
  </si>
  <si>
    <t>Nishan SPS
"China Gezhoba"</t>
  </si>
  <si>
    <t>Korovulbazar SPS
"China Gezhoba"</t>
  </si>
  <si>
    <t>Guzor SPS 
"Masdar"</t>
  </si>
  <si>
    <t>Pop SPS
"Tepelen Group AG"</t>
  </si>
  <si>
    <t>PTA</t>
  </si>
  <si>
    <t>Tutli SPS
"Tepelen Group AG"</t>
  </si>
  <si>
    <t>Navoiy SPS
"Tepelen Group AG"</t>
  </si>
  <si>
    <t>Karakul SPS
"Tepelen Group AG"</t>
  </si>
  <si>
    <t>Pop SPS
"Hyper Partners"</t>
  </si>
  <si>
    <t>Nurata SPS
"China Gezhoba"</t>
  </si>
  <si>
    <t>Buka SPS
"China Datang"</t>
  </si>
  <si>
    <t>Farish SPS
"CEE", "Poly changda"</t>
  </si>
  <si>
    <t>2 800 MW</t>
  </si>
  <si>
    <t>HoT</t>
  </si>
  <si>
    <t>Ferghana SPS
"GD Power", "CAMCE"</t>
  </si>
  <si>
    <t>Ferghana SPS
"Hyper Partners"</t>
  </si>
  <si>
    <t>Andijan SPS
"Suling Energy"</t>
  </si>
  <si>
    <t>Navoiy SPS
"Sinoma"</t>
  </si>
  <si>
    <t>Nurabad SPS
"Total Energis"</t>
  </si>
  <si>
    <r>
      <t xml:space="preserve">Bukhara Hybrid
</t>
    </r>
    <r>
      <rPr>
        <i/>
        <sz val="12"/>
        <color rgb="FF0070c0"/>
        <rFont val="Cambria"/>
        <family val="2"/>
      </rPr>
      <t>"Voltalia"</t>
    </r>
  </si>
  <si>
    <t>100 MW</t>
  </si>
  <si>
    <t>JDA</t>
  </si>
  <si>
    <t>capacity in the beginning of the year</t>
  </si>
  <si>
    <t>added during quarter I</t>
  </si>
  <si>
    <t>added until the end of the year</t>
  </si>
  <si>
    <t>total capacity at the end of the year</t>
  </si>
  <si>
    <t>Wind Power Stations</t>
  </si>
  <si>
    <t>Изоҳ</t>
  </si>
  <si>
    <t>Tomdi WPS
"Masdar"</t>
  </si>
  <si>
    <t>5 600 MW</t>
  </si>
  <si>
    <t>Karatau-WPS-1 
"ACWA Power"</t>
  </si>
  <si>
    <t>Bash-WPS-1 
"ACWA Power"</t>
  </si>
  <si>
    <t>Bash-WPS-2 
"ACWA Power"</t>
  </si>
  <si>
    <t>Bash-WPS-Hydrogen "ACWA Power"</t>
  </si>
  <si>
    <t>Jankeldi-WPS 
"ACWA Power"</t>
  </si>
  <si>
    <t>Kungirat-WPS-1 
"ACWA Power"</t>
  </si>
  <si>
    <t>Kungirat-WPS-2
"ACWA Power"</t>
  </si>
  <si>
    <t>Kungirat-WPS-3 
"ACWA Power"</t>
  </si>
  <si>
    <t>Kungirat-WPS-4 
"ACWA Power"</t>
  </si>
  <si>
    <t>Shurkul WPS
"Liaoning Lide Ltd"</t>
  </si>
  <si>
    <t>Bulungur WPS "Universal Energy"</t>
  </si>
  <si>
    <t>Karatau-WPS-2 
"ACWA Power"</t>
  </si>
  <si>
    <t>Nurata WPS
"China Gezhoba"</t>
  </si>
  <si>
    <t>Kungirat WPS-5
"Sany renewables"</t>
  </si>
  <si>
    <t>8 000 MW</t>
  </si>
  <si>
    <t>Kungirat WPS-6
"AMEA Power"</t>
  </si>
  <si>
    <t>Uchkuduk WPS
"Nebras"</t>
  </si>
  <si>
    <t>Tamdi-Uchkuduk WPS
"Datang"</t>
  </si>
  <si>
    <t>Samarkand WPS
"Suling"</t>
  </si>
  <si>
    <t>Kashkadarya WPS
"Suling"</t>
  </si>
  <si>
    <t>Farish WPS
"Huadian"</t>
  </si>
  <si>
    <t>Jandar WPS
"Toyoto Tsusho"</t>
  </si>
  <si>
    <t>10 300 MW</t>
  </si>
  <si>
    <r>
      <t xml:space="preserve">ETTB WPS
</t>
    </r>
    <r>
      <rPr>
        <sz val="12"/>
        <color rgb="FFc00000"/>
        <rFont val="Cambria"/>
        <family val="2"/>
      </rPr>
      <t>Under tendering</t>
    </r>
  </si>
  <si>
    <t>Mingbulak WPS
"Masdar" (2000)</t>
  </si>
  <si>
    <t>Peshku-Gijduvan WPS
"ACWA Power" (2000)</t>
  </si>
  <si>
    <t>Kungurat WPSes
"ACWA Power" (5000)</t>
  </si>
  <si>
    <t>Status</t>
  </si>
  <si>
    <t>Techs</t>
  </si>
  <si>
    <t>Installed Capacity (2022) (MW)</t>
  </si>
  <si>
    <t>Installed Capacity (2030) (MW) (Optimal Scenario)</t>
  </si>
  <si>
    <t>Existing</t>
  </si>
  <si>
    <t>UZB_LEG_CHP_NaturalGas_Steam_S_TashkentCHP1</t>
  </si>
  <si>
    <t>Mirabad district, Tashkent city</t>
  </si>
  <si>
    <t>UZB_LEG_ELC_Lignite_Steam_M_Novo-Angren3</t>
  </si>
  <si>
    <t>Nurabad settlement, Tashkent region</t>
  </si>
  <si>
    <t>UZB_LEG_ELC_Lignite_Steam_M_Novo-Angren4</t>
  </si>
  <si>
    <t>UZB_LEG_ELC_Lignite_Steam_M_Novo-Angren5</t>
  </si>
  <si>
    <t>UZB_LEG_ELC_Lignite_Steam_M_Novo-Angren6</t>
  </si>
  <si>
    <t>UZB_LEG_ELC_Lignite_Steam_M_Novo-Angren7</t>
  </si>
  <si>
    <t>UZB_LEG_ELC_Lignite_Steam_S_Angren6</t>
  </si>
  <si>
    <t>Angren city, Tashkent region</t>
  </si>
  <si>
    <t>UZB_LEG_ELC_NaturalGas_Steam_L_SyrdaryaTPP10</t>
  </si>
  <si>
    <t>Shirin city, Syrdarya region</t>
  </si>
  <si>
    <t>UZB_LEG_ELC_NaturalGas_Steam_L_SyrdaryaTPP5</t>
  </si>
  <si>
    <t>UZB_LEG_ELC_NaturalGas_Steam_L_SyrdaryaTPP6</t>
  </si>
  <si>
    <t>UZB_LEG_ELC_NaturalGas_Steam_L_SyrdaryaTPP7</t>
  </si>
  <si>
    <t>UZB_LEG_ELC_NaturalGas_Steam_L_SyrdaryaTPP8</t>
  </si>
  <si>
    <t>UZB_LEG_ELC_NaturalGas_Steam_L_SyrdaryaTPP9</t>
  </si>
  <si>
    <t>UZB_LEG_ELC_NaturalGas_Steam_M_NavoiTPPST11</t>
  </si>
  <si>
    <t>Karmana district, Navoiy region</t>
  </si>
  <si>
    <t>UZB_LEG_ELC_NaturalGas_Steam_M_NavoiTPPST12</t>
  </si>
  <si>
    <t>UZB_LEG_ELC_NaturalGas_Steam_M_TakhiatashTPP7</t>
  </si>
  <si>
    <t>Takhiatash district, Karakalpakistan rep</t>
  </si>
  <si>
    <t>UZB_LEG_ELC_NaturalGas_Steam_M_TakhiatashTPP8</t>
  </si>
  <si>
    <t>Potential (i.e. Optimised)</t>
  </si>
  <si>
    <t>UZB_NEW_ELC_NaturalGas_CombinedCycle_L_CCGT</t>
  </si>
  <si>
    <t>UZB_NEW_ELC_NaturalGas_OpenCycle_M_OCGT</t>
  </si>
  <si>
    <t>UZB_NEW_ELC_Nuclear_Nuclear_L_NPP</t>
  </si>
  <si>
    <t>UZB_NEW_ELC_Solar_PV_L_SOLAR</t>
  </si>
  <si>
    <t>see the RES sheet</t>
  </si>
  <si>
    <t>UZB_NEW_ELC_Storage_Batteries_L_Batteries</t>
  </si>
  <si>
    <t>UZB_NEW_ELC_Wind_Onshore_L_WIND</t>
  </si>
  <si>
    <t>Planned</t>
  </si>
  <si>
    <t>UZB_REC_CHP_NaturalGas_Steam_S_TashkentCHP2</t>
  </si>
  <si>
    <t>Tashkent city</t>
  </si>
  <si>
    <t>UZB_REC_CHP_NaturalGas_Steam_S_TashkentCHP3</t>
  </si>
  <si>
    <t>UZB_REC_ELC_Hydro_Reservoir_L_HYDRO</t>
  </si>
  <si>
    <t>see the HAS sheet</t>
  </si>
  <si>
    <t>UZB_REC_ELC_Lignite_Steam_M_Angren9</t>
  </si>
  <si>
    <t>UZB_REC_ELC_NaturalGas_CombinedCycle_L_NavoiTPPCC1</t>
  </si>
  <si>
    <t>UZB_REC_ELC_NaturalGas_CombinedCycle_L_NavoiTPPCC2</t>
  </si>
  <si>
    <t>UZB_REC_ELC_NaturalGas_CombinedCycle_L_NavoiTPPCC3</t>
  </si>
  <si>
    <t>UZB_REC_ELC_NaturalGas_CombinedCycle_L_NavoiTPPCC4</t>
  </si>
  <si>
    <t>UZB_REC_ELC_NaturalGas_CombinedCycle_L_SyrdaryaTPP1</t>
  </si>
  <si>
    <t>UZB_REC_ELC_NaturalGas_CombinedCycle_L_SyrdaryaTPP1a</t>
  </si>
  <si>
    <t>UZB_REC_ELC_NaturalGas_CombinedCycle_L_SyrdaryaTPP1b</t>
  </si>
  <si>
    <t>UZB_REC_ELC_NaturalGas_CombinedCycle_L_TalimarjanTPPCC1</t>
  </si>
  <si>
    <t>Talimarjan district, Kashkadarya region</t>
  </si>
  <si>
    <t>UZB_REC_ELC_NaturalGas_CombinedCycle_L_TalimarjanTPPCC2</t>
  </si>
  <si>
    <t>UZB_REC_ELC_NaturalGas_CombinedCycle_L_TalimarjanTPPCC3</t>
  </si>
  <si>
    <t>UZB_REC_ELC_NaturalGas_CombinedCycle_L_TalimarjanTPPCC4</t>
  </si>
  <si>
    <t>UZB_REC_ELC_NaturalGas_CombinedCycle_L_TashkentTPP13</t>
  </si>
  <si>
    <t>UZB_REC_ELC_NaturalGas_CombinedCycle_L_TurakurganTPP1</t>
  </si>
  <si>
    <t>Turakurgan district, Namangan region</t>
  </si>
  <si>
    <t>UZB_REC_ELC_NaturalGas_CombinedCycle_L_TurakurganTPP2</t>
  </si>
  <si>
    <t>UZB_REC_ELC_NaturalGas_CombinedCycle_M_Kibray1</t>
  </si>
  <si>
    <t>Kibray district, Tashkent city</t>
  </si>
  <si>
    <t>UZB_REC_ELC_NaturalGas_CombinedCycle_M_TakhiatashTPPCC1</t>
  </si>
  <si>
    <t>UZB_REC_ELC_NaturalGas_CombinedCycle_M_TakhiatashTPPCC2</t>
  </si>
  <si>
    <t>UZB_REC_ELC_NaturalGas_CombinedCycle_M_TashkentAksa1</t>
  </si>
  <si>
    <t>UZB_REC_ELC_NaturalGas_CombinedCycle_M_Yangiarik1</t>
  </si>
  <si>
    <t>Khorezm region, Khorezm region</t>
  </si>
  <si>
    <t>UZB_REC_ELC_NaturalGas_CombinedCycle_M_Yangiyer1</t>
  </si>
  <si>
    <t>Yangiyer district, Tashkent region</t>
  </si>
  <si>
    <t>UZB_REC_ELC_NaturalGas_Piston_S_Bukhara1</t>
  </si>
  <si>
    <t>Bukhara region</t>
  </si>
  <si>
    <t>UZB_REC_ELC_NaturalGas_Piston_S_Kibray2</t>
  </si>
  <si>
    <t>Quantity</t>
  </si>
  <si>
    <t>Aggregate capacity (MW)</t>
  </si>
  <si>
    <t>Share</t>
  </si>
  <si>
    <t>Thermal power stations</t>
  </si>
  <si>
    <t>Hydropower stations</t>
  </si>
  <si>
    <t>Solar power stations</t>
  </si>
  <si>
    <t>Wind power stations</t>
  </si>
  <si>
    <t>Blockstations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</si>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</sst>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c00000"/>
      <name val="Cambria"/>
      <family val="2"/>
    </font>
    <font>
      <b/>
      <sz val="14"/>
      <color rgb="FF000000"/>
      <name val="Cambria"/>
      <family val="2"/>
    </font>
    <font>
      <b/>
      <sz val="12"/>
      <color rgb="FF0070c0"/>
      <name val="Cambria"/>
      <family val="2"/>
    </font>
    <font>
      <b/>
      <i/>
      <sz val="14"/>
      <color rgb="FF0070c0"/>
      <name val="Cambria"/>
      <family val="2"/>
    </font>
    <font>
      <sz val="12"/>
      <color rgb="FF000000"/>
      <name val="Cambria"/>
      <family val="2"/>
    </font>
    <font>
      <sz val="14"/>
      <color rgb="FF000000"/>
      <name val="Cambria"/>
      <family val="2"/>
    </font>
    <font>
      <i/>
      <sz val="13"/>
      <color rgb="FF000000"/>
      <name val="Cambria"/>
      <family val="2"/>
    </font>
    <font>
      <i/>
      <sz val="14"/>
      <color rgb="FF0070c0"/>
      <name val="Cambria"/>
      <family val="2"/>
    </font>
    <font>
      <sz val="13"/>
      <color rgb="FF000000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b/>
      <i/>
      <sz val="11"/>
      <color rgb="FF333333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ae3f3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c6c6c6"/>
      </right>
      <top style="dotted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dotted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tted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tted">
        <color rgb="FF000000"/>
      </bottom>
      <diagonal/>
    </border>
    <border>
      <left style="thin">
        <color rgb="FFc6c6c6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 style="thin">
        <color rgb="FFc6c6c6"/>
      </left>
      <right style="thin">
        <color rgb="FF000000"/>
      </right>
      <top style="dotted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dotted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2" applyBorder="1" fontId="3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right" wrapText="1"/>
    </xf>
    <xf xfId="0" numFmtId="0" borderId="1" applyBorder="1" fontId="2" applyFont="1" fillId="0" applyAlignment="1">
      <alignment horizontal="center" vertical="top"/>
    </xf>
    <xf xfId="0" numFmtId="0" borderId="2" applyBorder="1" fontId="4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 wrapText="1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3" applyBorder="1" fontId="5" applyFont="1" fillId="0" applyAlignment="1">
      <alignment horizontal="center" wrapText="1"/>
    </xf>
    <xf xfId="0" numFmtId="0" borderId="4" applyBorder="1" fontId="5" applyFont="1" fillId="0" applyAlignment="1">
      <alignment horizontal="center" wrapText="1"/>
    </xf>
    <xf xfId="0" numFmtId="3" applyNumberFormat="1" borderId="4" applyBorder="1" fontId="5" applyFont="1" fillId="0" applyAlignment="1">
      <alignment horizontal="center" wrapText="1"/>
    </xf>
    <xf xfId="0" numFmtId="0" borderId="5" applyBorder="1" fontId="5" applyFont="1" fillId="0" applyAlignment="1">
      <alignment horizontal="center" wrapText="1"/>
    </xf>
    <xf xfId="0" numFmtId="0" borderId="6" applyBorder="1" fontId="3" applyFont="1" fillId="2" applyFill="1" applyAlignment="1">
      <alignment horizontal="center" wrapText="1"/>
    </xf>
    <xf xfId="0" numFmtId="3" applyNumberFormat="1" borderId="7" applyBorder="1" fontId="3" applyFont="1" fillId="2" applyFill="1" applyAlignment="1">
      <alignment horizontal="right" wrapText="1"/>
    </xf>
    <xf xfId="0" numFmtId="3" applyNumberFormat="1" borderId="8" applyBorder="1" fontId="3" applyFont="1" fillId="2" applyFill="1" applyAlignment="1">
      <alignment horizontal="right" wrapText="1"/>
    </xf>
    <xf xfId="0" numFmtId="0" borderId="1" applyBorder="1" fontId="6" applyFont="1" fillId="0" applyAlignment="1">
      <alignment horizontal="right"/>
    </xf>
    <xf xfId="0" numFmtId="0" borderId="9" applyBorder="1" fontId="6" applyFont="1" fillId="0" applyAlignment="1">
      <alignment horizontal="right"/>
    </xf>
    <xf xfId="0" numFmtId="0" borderId="5" applyBorder="1" fontId="7" applyFont="1" fillId="0" applyAlignment="1">
      <alignment horizontal="center" wrapText="1"/>
    </xf>
    <xf xfId="0" numFmtId="0" borderId="10" applyBorder="1" fontId="8" applyFont="1" fillId="2" applyFill="1" applyAlignment="1">
      <alignment horizontal="right" wrapText="1"/>
    </xf>
    <xf xfId="0" numFmtId="3" applyNumberFormat="1" borderId="11" applyBorder="1" fontId="8" applyFont="1" fillId="2" applyFill="1" applyAlignment="1">
      <alignment horizontal="right" wrapText="1"/>
    </xf>
    <xf xfId="0" numFmtId="3" applyNumberFormat="1" borderId="12" applyBorder="1" fontId="8" applyFont="1" fillId="2" applyFill="1" applyAlignment="1">
      <alignment horizontal="right" wrapText="1"/>
    </xf>
    <xf xfId="0" numFmtId="0" borderId="13" applyBorder="1" fontId="4" applyFont="1" fillId="3" applyFill="1" applyAlignment="1">
      <alignment horizontal="center" vertical="top"/>
    </xf>
    <xf xfId="0" numFmtId="0" borderId="13" applyBorder="1" fontId="9" applyFont="1" fillId="3" applyFill="1" applyAlignment="1">
      <alignment horizontal="center"/>
    </xf>
    <xf xfId="0" numFmtId="0" borderId="14" applyBorder="1" fontId="7" applyFont="1" fillId="0" applyAlignment="1">
      <alignment horizontal="center" wrapText="1"/>
    </xf>
    <xf xfId="0" numFmtId="0" borderId="15" applyBorder="1" fontId="8" applyFont="1" fillId="2" applyFill="1" applyAlignment="1">
      <alignment horizontal="right" wrapText="1"/>
    </xf>
    <xf xfId="0" numFmtId="3" applyNumberFormat="1" borderId="16" applyBorder="1" fontId="8" applyFont="1" fillId="2" applyFill="1" applyAlignment="1">
      <alignment horizontal="right" wrapText="1"/>
    </xf>
    <xf xfId="0" numFmtId="3" applyNumberFormat="1" borderId="17" applyBorder="1" fontId="8" applyFont="1" fillId="2" applyFill="1" applyAlignment="1">
      <alignment horizontal="right" wrapText="1"/>
    </xf>
    <xf xfId="0" numFmtId="0" borderId="13" applyBorder="1" fontId="4" applyFont="1" fillId="3" applyFill="1" applyAlignment="1">
      <alignment horizontal="center"/>
    </xf>
    <xf xfId="0" numFmtId="0" borderId="18" applyBorder="1" fontId="7" applyFont="1" fillId="0" applyAlignment="1">
      <alignment horizontal="center" wrapText="1"/>
    </xf>
    <xf xfId="0" numFmtId="0" borderId="19" applyBorder="1" fontId="8" applyFont="1" fillId="2" applyFill="1" applyAlignment="1">
      <alignment horizontal="right" wrapText="1"/>
    </xf>
    <xf xfId="0" numFmtId="3" applyNumberFormat="1" borderId="20" applyBorder="1" fontId="8" applyFont="1" fillId="2" applyFill="1" applyAlignment="1">
      <alignment horizontal="right" wrapText="1"/>
    </xf>
    <xf xfId="0" numFmtId="3" applyNumberFormat="1" borderId="21" applyBorder="1" fontId="8" applyFont="1" fillId="2" applyFill="1" applyAlignment="1">
      <alignment horizontal="right" wrapText="1"/>
    </xf>
    <xf xfId="0" numFmtId="0" borderId="14" applyBorder="1" fontId="8" applyFont="1" fillId="2" applyFill="1" applyAlignment="1">
      <alignment horizontal="right" wrapText="1"/>
    </xf>
    <xf xfId="0" numFmtId="3" applyNumberFormat="1" borderId="22" applyBorder="1" fontId="8" applyFont="1" fillId="2" applyFill="1" applyAlignment="1">
      <alignment horizontal="right" wrapText="1"/>
    </xf>
    <xf xfId="0" numFmtId="3" applyNumberFormat="1" borderId="23" applyBorder="1" fontId="8" applyFont="1" fillId="2" applyFill="1" applyAlignment="1">
      <alignment horizontal="right" wrapText="1"/>
    </xf>
    <xf xfId="0" numFmtId="3" applyNumberFormat="1" borderId="24" applyBorder="1" fontId="8" applyFont="1" fillId="2" applyFill="1" applyAlignment="1">
      <alignment horizontal="right" wrapText="1"/>
    </xf>
    <xf xfId="0" numFmtId="3" applyNumberFormat="1" borderId="25" applyBorder="1" fontId="8" applyFont="1" fillId="2" applyFill="1" applyAlignment="1">
      <alignment horizontal="right" wrapText="1"/>
    </xf>
    <xf xfId="0" numFmtId="3" applyNumberFormat="1" borderId="26" applyBorder="1" fontId="8" applyFont="1" fillId="2" applyFill="1" applyAlignment="1">
      <alignment horizontal="right" wrapText="1"/>
    </xf>
    <xf xfId="0" numFmtId="3" applyNumberFormat="1" borderId="27" applyBorder="1" fontId="8" applyFont="1" fillId="2" applyFill="1" applyAlignment="1">
      <alignment horizontal="right" wrapText="1"/>
    </xf>
    <xf xfId="0" numFmtId="0" borderId="13" applyBorder="1" fontId="4" applyFont="1" fillId="4" applyFill="1" applyAlignment="1">
      <alignment horizontal="center" vertical="top"/>
    </xf>
    <xf xfId="0" numFmtId="0" borderId="13" applyBorder="1" fontId="9" applyFont="1" fillId="4" applyFill="1" applyAlignment="1">
      <alignment horizontal="center"/>
    </xf>
    <xf xfId="0" numFmtId="3" applyNumberFormat="1" borderId="28" applyBorder="1" fontId="8" applyFont="1" fillId="2" applyFill="1" applyAlignment="1">
      <alignment horizontal="right" wrapText="1"/>
    </xf>
    <xf xfId="0" numFmtId="3" applyNumberFormat="1" borderId="29" applyBorder="1" fontId="8" applyFont="1" fillId="2" applyFill="1" applyAlignment="1">
      <alignment horizontal="right" wrapText="1"/>
    </xf>
    <xf xfId="0" numFmtId="0" borderId="13" applyBorder="1" fontId="4" applyFont="1" fillId="4" applyFill="1" applyAlignment="1">
      <alignment horizontal="center"/>
    </xf>
    <xf xfId="0" numFmtId="0" borderId="13" applyBorder="1" fontId="4" applyFont="1" fillId="5" applyFill="1" applyAlignment="1">
      <alignment horizontal="left" vertical="top"/>
    </xf>
    <xf xfId="0" numFmtId="0" borderId="13" applyBorder="1" fontId="9" applyFont="1" fillId="5" applyFill="1" applyAlignment="1">
      <alignment horizontal="center"/>
    </xf>
    <xf xfId="0" numFmtId="0" borderId="30" applyBorder="1" fontId="7" applyFont="1" fillId="0" applyAlignment="1">
      <alignment horizontal="center" wrapText="1"/>
    </xf>
    <xf xfId="0" numFmtId="0" borderId="31" applyBorder="1" fontId="8" applyFont="1" fillId="2" applyFill="1" applyAlignment="1">
      <alignment horizontal="right" wrapText="1"/>
    </xf>
    <xf xfId="0" numFmtId="3" applyNumberFormat="1" borderId="32" applyBorder="1" fontId="8" applyFont="1" fillId="2" applyFill="1" applyAlignment="1">
      <alignment horizontal="right" wrapText="1"/>
    </xf>
    <xf xfId="0" numFmtId="3" applyNumberFormat="1" borderId="33" applyBorder="1" fontId="8" applyFont="1" fillId="2" applyFill="1" applyAlignment="1">
      <alignment horizontal="right" wrapText="1"/>
    </xf>
    <xf xfId="0" numFmtId="3" applyNumberFormat="1" borderId="34" applyBorder="1" fontId="8" applyFont="1" fillId="2" applyFill="1" applyAlignment="1">
      <alignment horizontal="right" wrapText="1"/>
    </xf>
    <xf xfId="0" numFmtId="3" applyNumberFormat="1" borderId="35" applyBorder="1" fontId="8" applyFont="1" fillId="2" applyFill="1" applyAlignment="1">
      <alignment horizontal="right" wrapText="1"/>
    </xf>
    <xf xfId="0" numFmtId="0" borderId="13" applyBorder="1" fontId="4" applyFont="1" fillId="5" applyFill="1" applyAlignment="1">
      <alignment horizontal="left"/>
    </xf>
    <xf xfId="0" numFmtId="0" borderId="0" fontId="0" fillId="0" applyAlignment="1">
      <alignment wrapText="1"/>
    </xf>
    <xf xfId="0" numFmtId="0" borderId="36" applyBorder="1" fontId="7" applyFont="1" fillId="0" applyAlignment="1">
      <alignment horizontal="center" wrapText="1"/>
    </xf>
    <xf xfId="0" numFmtId="0" borderId="37" applyBorder="1" fontId="4" applyFont="1" fillId="2" applyFill="1" applyAlignment="1">
      <alignment horizontal="right" wrapText="1"/>
    </xf>
    <xf xfId="0" numFmtId="3" applyNumberFormat="1" borderId="22" applyBorder="1" fontId="4" applyFont="1" fillId="2" applyFill="1" applyAlignment="1">
      <alignment horizontal="right" wrapText="1"/>
    </xf>
    <xf xfId="0" numFmtId="3" applyNumberFormat="1" borderId="23" applyBorder="1" fontId="4" applyFont="1" fillId="2" applyFill="1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0" borderId="15" applyBorder="1" fontId="10" applyFont="1" fillId="2" applyFill="1" applyAlignment="1">
      <alignment horizontal="right" wrapText="1"/>
    </xf>
    <xf xfId="0" numFmtId="3" applyNumberFormat="1" borderId="16" applyBorder="1" fontId="10" applyFont="1" fillId="2" applyFill="1" applyAlignment="1">
      <alignment horizontal="right" wrapText="1"/>
    </xf>
    <xf xfId="0" numFmtId="3" applyNumberFormat="1" borderId="17" applyBorder="1" fontId="10" applyFont="1" fillId="2" applyFill="1" applyAlignment="1">
      <alignment horizontal="right" wrapText="1"/>
    </xf>
    <xf xfId="0" numFmtId="0" borderId="31" applyBorder="1" fontId="3" applyFont="1" fillId="2" applyFill="1" applyAlignment="1">
      <alignment horizontal="right" wrapText="1"/>
    </xf>
    <xf xfId="0" numFmtId="3" applyNumberFormat="1" borderId="32" applyBorder="1" fontId="3" applyFont="1" fillId="2" applyFill="1" applyAlignment="1">
      <alignment horizontal="right" wrapText="1"/>
    </xf>
    <xf xfId="0" numFmtId="3" applyNumberFormat="1" borderId="34" applyBorder="1" fontId="3" applyFont="1" fillId="2" applyFill="1" applyAlignment="1">
      <alignment horizontal="right" wrapText="1"/>
    </xf>
    <xf xfId="0" numFmtId="0" borderId="38" applyBorder="1" fontId="5" applyFont="1" fillId="0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0" borderId="38" applyBorder="1" fontId="6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3" applyBorder="1" fontId="4" applyFont="1" fillId="5" applyFill="1" applyAlignment="1">
      <alignment horizontal="center" vertical="top"/>
    </xf>
    <xf xfId="0" numFmtId="0" borderId="13" applyBorder="1" fontId="4" applyFont="1" fillId="5" applyFill="1" applyAlignment="1">
      <alignment horizontal="center"/>
    </xf>
    <xf xfId="0" numFmtId="0" borderId="1" applyBorder="1" fontId="11" applyFont="1" fillId="0" applyAlignment="1">
      <alignment horizontal="lef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39" applyBorder="1" fontId="12" applyFont="1" fillId="0" applyAlignment="1">
      <alignment horizontal="left"/>
    </xf>
    <xf xfId="0" numFmtId="0" borderId="40" applyBorder="1" fontId="12" applyFont="1" fillId="0" applyAlignment="1">
      <alignment horizontal="left"/>
    </xf>
    <xf xfId="0" numFmtId="3" applyNumberFormat="1" borderId="40" applyBorder="1" fontId="12" applyFont="1" fillId="0" applyAlignment="1">
      <alignment horizontal="left"/>
    </xf>
    <xf xfId="0" numFmtId="0" borderId="41" applyBorder="1" fontId="13" applyFont="1" fillId="0" applyAlignment="1">
      <alignment horizontal="left"/>
    </xf>
    <xf xfId="0" numFmtId="0" borderId="42" applyBorder="1" fontId="13" applyFont="1" fillId="0" applyAlignment="1">
      <alignment horizontal="left"/>
    </xf>
    <xf xfId="0" numFmtId="3" applyNumberFormat="1" borderId="42" applyBorder="1" fontId="13" applyFont="1" fillId="0" applyAlignment="1">
      <alignment horizontal="center"/>
    </xf>
    <xf xfId="0" numFmtId="0" borderId="42" applyBorder="1" fontId="13" applyFont="1" fillId="0" applyAlignment="1">
      <alignment horizontal="center"/>
    </xf>
    <xf xfId="0" numFmtId="0" borderId="42" applyBorder="1" fontId="1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15" applyFont="1" fillId="0" applyAlignment="1">
      <alignment horizontal="center"/>
    </xf>
    <xf xfId="0" numFmtId="3" applyNumberFormat="1" borderId="1" applyBorder="1" fontId="15" applyFont="1" fillId="0" applyAlignment="1">
      <alignment horizontal="center"/>
    </xf>
    <xf xfId="0" numFmtId="164" applyNumberFormat="1" borderId="1" applyBorder="1" fontId="15" applyFont="1" fillId="0" applyAlignment="1">
      <alignment horizontal="center"/>
    </xf>
    <xf xfId="0" numFmtId="0" borderId="1" applyBorder="1" fontId="16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164" applyNumberFormat="1" borderId="1" applyBorder="1" fontId="16" applyFont="1" fillId="0" applyAlignment="1">
      <alignment horizontal="right"/>
    </xf>
    <xf xfId="0" numFmtId="0" borderId="1" applyBorder="1" fontId="15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82" width="20.862142857142857" customWidth="1" bestFit="1"/>
    <col min="2" max="2" style="81" width="13.576428571428572" customWidth="1" bestFit="1"/>
    <col min="3" max="3" style="81" width="21.576428571428572" customWidth="1" bestFit="1"/>
    <col min="4" max="4" style="101" width="13.576428571428572" customWidth="1" bestFit="1"/>
  </cols>
  <sheetData>
    <row x14ac:dyDescent="0.25" r="1" customHeight="1" ht="18.75">
      <c r="A1" s="92"/>
      <c r="B1" s="93" t="s">
        <v>179</v>
      </c>
      <c r="C1" s="93" t="s">
        <v>180</v>
      </c>
      <c r="D1" s="94" t="s">
        <v>181</v>
      </c>
    </row>
    <row x14ac:dyDescent="0.25" r="2" customHeight="1" ht="18.75">
      <c r="A2" s="95" t="s">
        <v>182</v>
      </c>
      <c r="B2" s="96">
        <v>18</v>
      </c>
      <c r="C2" s="96">
        <v>13767</v>
      </c>
      <c r="D2" s="97">
        <v>0.77</v>
      </c>
    </row>
    <row x14ac:dyDescent="0.25" r="3" customHeight="1" ht="18.75">
      <c r="A3" s="95" t="s">
        <v>183</v>
      </c>
      <c r="B3" s="96">
        <v>57</v>
      </c>
      <c r="C3" s="96">
        <v>2200</v>
      </c>
      <c r="D3" s="97">
        <v>0.12</v>
      </c>
    </row>
    <row x14ac:dyDescent="0.25" r="4" customHeight="1" ht="18.75">
      <c r="A4" s="95" t="s">
        <v>184</v>
      </c>
      <c r="B4" s="96">
        <v>8</v>
      </c>
      <c r="C4" s="96">
        <v>1517</v>
      </c>
      <c r="D4" s="97">
        <v>0.08</v>
      </c>
    </row>
    <row x14ac:dyDescent="0.25" r="5" customHeight="1" ht="18.75">
      <c r="A5" s="95" t="s">
        <v>185</v>
      </c>
      <c r="B5" s="96">
        <v>1</v>
      </c>
      <c r="C5" s="96">
        <v>100</v>
      </c>
      <c r="D5" s="97">
        <v>0.01</v>
      </c>
    </row>
    <row x14ac:dyDescent="0.25" r="6" customHeight="1" ht="18.75">
      <c r="A6" s="95" t="s">
        <v>186</v>
      </c>
      <c r="B6" s="96">
        <v>3</v>
      </c>
      <c r="C6" s="96">
        <v>223</v>
      </c>
      <c r="D6" s="97">
        <v>0.02</v>
      </c>
    </row>
    <row x14ac:dyDescent="0.25" r="7" customHeight="1" ht="18.75">
      <c r="A7" s="98" t="s">
        <v>187</v>
      </c>
      <c r="B7" s="96">
        <f>SUM(B2:B6)</f>
      </c>
      <c r="C7" s="99">
        <f>SUM(C2:C6)</f>
      </c>
      <c r="D7" s="100">
        <f>SUM(D2:D6)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0"/>
  <sheetViews>
    <sheetView workbookViewId="0"/>
  </sheetViews>
  <sheetFormatPr defaultRowHeight="15" x14ac:dyDescent="0.25"/>
  <cols>
    <col min="1" max="1" style="82" width="20.14785714285714" customWidth="1" bestFit="1"/>
    <col min="2" max="2" style="82" width="51.29071428571429" customWidth="1" bestFit="1"/>
    <col min="3" max="3" style="91" width="25.005" customWidth="1" bestFit="1"/>
    <col min="4" max="4" style="6" width="29.290714285714284" customWidth="1" bestFit="1"/>
    <col min="5" max="5" style="91" width="40.005" customWidth="1" bestFit="1"/>
  </cols>
  <sheetData>
    <row x14ac:dyDescent="0.25" r="1" customHeight="1" ht="20.25">
      <c r="A1" s="83" t="s">
        <v>108</v>
      </c>
      <c r="B1" s="84" t="s">
        <v>109</v>
      </c>
      <c r="C1" s="85" t="s">
        <v>110</v>
      </c>
      <c r="D1" s="84" t="s">
        <v>2</v>
      </c>
      <c r="E1" s="85" t="s">
        <v>111</v>
      </c>
    </row>
    <row x14ac:dyDescent="0.25" r="2" customHeight="1" ht="20.25">
      <c r="A2" s="86" t="s">
        <v>112</v>
      </c>
      <c r="B2" s="87" t="s">
        <v>113</v>
      </c>
      <c r="C2" s="88">
        <v>27</v>
      </c>
      <c r="D2" s="89" t="s">
        <v>114</v>
      </c>
      <c r="E2" s="88">
        <v>27</v>
      </c>
    </row>
    <row x14ac:dyDescent="0.25" r="3" customHeight="1" ht="20.25">
      <c r="A3" s="86" t="s">
        <v>112</v>
      </c>
      <c r="B3" s="87" t="s">
        <v>115</v>
      </c>
      <c r="C3" s="88">
        <v>300</v>
      </c>
      <c r="D3" s="89" t="s">
        <v>116</v>
      </c>
      <c r="E3" s="88">
        <v>300</v>
      </c>
    </row>
    <row x14ac:dyDescent="0.25" r="4" customHeight="1" ht="20.25">
      <c r="A4" s="86" t="s">
        <v>112</v>
      </c>
      <c r="B4" s="87" t="s">
        <v>117</v>
      </c>
      <c r="C4" s="88">
        <v>300</v>
      </c>
      <c r="D4" s="89" t="s">
        <v>116</v>
      </c>
      <c r="E4" s="88">
        <v>300</v>
      </c>
    </row>
    <row x14ac:dyDescent="0.25" r="5" customHeight="1" ht="20.25">
      <c r="A5" s="86" t="s">
        <v>112</v>
      </c>
      <c r="B5" s="87" t="s">
        <v>118</v>
      </c>
      <c r="C5" s="88">
        <v>300</v>
      </c>
      <c r="D5" s="89" t="s">
        <v>116</v>
      </c>
      <c r="E5" s="88">
        <v>300</v>
      </c>
    </row>
    <row x14ac:dyDescent="0.25" r="6" customHeight="1" ht="20.25">
      <c r="A6" s="86" t="s">
        <v>112</v>
      </c>
      <c r="B6" s="87" t="s">
        <v>119</v>
      </c>
      <c r="C6" s="88">
        <v>300</v>
      </c>
      <c r="D6" s="89" t="s">
        <v>116</v>
      </c>
      <c r="E6" s="88">
        <v>300</v>
      </c>
    </row>
    <row x14ac:dyDescent="0.25" r="7" customHeight="1" ht="20.25">
      <c r="A7" s="86" t="s">
        <v>112</v>
      </c>
      <c r="B7" s="87" t="s">
        <v>120</v>
      </c>
      <c r="C7" s="88">
        <v>300</v>
      </c>
      <c r="D7" s="89" t="s">
        <v>116</v>
      </c>
      <c r="E7" s="88">
        <v>300</v>
      </c>
    </row>
    <row x14ac:dyDescent="0.25" r="8" customHeight="1" ht="20.25">
      <c r="A8" s="86" t="s">
        <v>112</v>
      </c>
      <c r="B8" s="87" t="s">
        <v>121</v>
      </c>
      <c r="C8" s="88">
        <v>68</v>
      </c>
      <c r="D8" s="89" t="s">
        <v>122</v>
      </c>
      <c r="E8" s="88">
        <v>68</v>
      </c>
    </row>
    <row x14ac:dyDescent="0.25" r="9" customHeight="1" ht="20.25">
      <c r="A9" s="86" t="s">
        <v>112</v>
      </c>
      <c r="B9" s="87" t="s">
        <v>123</v>
      </c>
      <c r="C9" s="88">
        <v>325</v>
      </c>
      <c r="D9" s="89" t="s">
        <v>124</v>
      </c>
      <c r="E9" s="88">
        <v>325</v>
      </c>
    </row>
    <row x14ac:dyDescent="0.25" r="10" customHeight="1" ht="20.25">
      <c r="A10" s="86" t="s">
        <v>112</v>
      </c>
      <c r="B10" s="87" t="s">
        <v>125</v>
      </c>
      <c r="C10" s="88">
        <v>325</v>
      </c>
      <c r="D10" s="89" t="s">
        <v>124</v>
      </c>
      <c r="E10" s="88">
        <v>325</v>
      </c>
    </row>
    <row x14ac:dyDescent="0.25" r="11" customHeight="1" ht="20.25">
      <c r="A11" s="86" t="s">
        <v>112</v>
      </c>
      <c r="B11" s="87" t="s">
        <v>126</v>
      </c>
      <c r="C11" s="88">
        <v>325</v>
      </c>
      <c r="D11" s="89" t="s">
        <v>124</v>
      </c>
      <c r="E11" s="88">
        <v>325</v>
      </c>
    </row>
    <row x14ac:dyDescent="0.25" r="12" customHeight="1" ht="20.25">
      <c r="A12" s="86" t="s">
        <v>112</v>
      </c>
      <c r="B12" s="87" t="s">
        <v>127</v>
      </c>
      <c r="C12" s="88">
        <v>300</v>
      </c>
      <c r="D12" s="89" t="s">
        <v>124</v>
      </c>
      <c r="E12" s="88">
        <v>300</v>
      </c>
    </row>
    <row x14ac:dyDescent="0.25" r="13" customHeight="1" ht="20.25">
      <c r="A13" s="86" t="s">
        <v>112</v>
      </c>
      <c r="B13" s="87" t="s">
        <v>128</v>
      </c>
      <c r="C13" s="88">
        <v>300</v>
      </c>
      <c r="D13" s="89" t="s">
        <v>124</v>
      </c>
      <c r="E13" s="88">
        <v>300</v>
      </c>
    </row>
    <row x14ac:dyDescent="0.25" r="14" customHeight="1" ht="20.25">
      <c r="A14" s="86" t="s">
        <v>112</v>
      </c>
      <c r="B14" s="87" t="s">
        <v>129</v>
      </c>
      <c r="C14" s="88">
        <v>325</v>
      </c>
      <c r="D14" s="89" t="s">
        <v>124</v>
      </c>
      <c r="E14" s="88">
        <v>325</v>
      </c>
    </row>
    <row x14ac:dyDescent="0.25" r="15" customHeight="1" ht="20.25">
      <c r="A15" s="86" t="s">
        <v>112</v>
      </c>
      <c r="B15" s="87" t="s">
        <v>130</v>
      </c>
      <c r="C15" s="88">
        <v>210</v>
      </c>
      <c r="D15" s="89" t="s">
        <v>131</v>
      </c>
      <c r="E15" s="88">
        <v>210</v>
      </c>
    </row>
    <row x14ac:dyDescent="0.25" r="16" customHeight="1" ht="20.25">
      <c r="A16" s="86" t="s">
        <v>112</v>
      </c>
      <c r="B16" s="87" t="s">
        <v>132</v>
      </c>
      <c r="C16" s="88">
        <v>210</v>
      </c>
      <c r="D16" s="89" t="s">
        <v>131</v>
      </c>
      <c r="E16" s="88">
        <v>210</v>
      </c>
    </row>
    <row x14ac:dyDescent="0.25" r="17" customHeight="1" ht="20.25">
      <c r="A17" s="86" t="s">
        <v>112</v>
      </c>
      <c r="B17" s="87" t="s">
        <v>133</v>
      </c>
      <c r="C17" s="88">
        <v>210</v>
      </c>
      <c r="D17" s="89" t="s">
        <v>134</v>
      </c>
      <c r="E17" s="88">
        <v>210</v>
      </c>
    </row>
    <row x14ac:dyDescent="0.25" r="18" customHeight="1" ht="20.25">
      <c r="A18" s="86" t="s">
        <v>112</v>
      </c>
      <c r="B18" s="87" t="s">
        <v>135</v>
      </c>
      <c r="C18" s="88">
        <v>210</v>
      </c>
      <c r="D18" s="89" t="s">
        <v>134</v>
      </c>
      <c r="E18" s="88">
        <v>210</v>
      </c>
    </row>
    <row x14ac:dyDescent="0.25" r="19" customHeight="1" ht="20.25">
      <c r="A19" s="86" t="s">
        <v>136</v>
      </c>
      <c r="B19" s="87" t="s">
        <v>137</v>
      </c>
      <c r="C19" s="88">
        <v>0</v>
      </c>
      <c r="D19" s="89"/>
      <c r="E19" s="88">
        <v>2229</v>
      </c>
    </row>
    <row x14ac:dyDescent="0.25" r="20" customHeight="1" ht="20.25">
      <c r="A20" s="86" t="s">
        <v>136</v>
      </c>
      <c r="B20" s="87" t="s">
        <v>138</v>
      </c>
      <c r="C20" s="88">
        <v>0</v>
      </c>
      <c r="D20" s="89"/>
      <c r="E20" s="88">
        <v>2179</v>
      </c>
    </row>
    <row x14ac:dyDescent="0.25" r="21" customHeight="1" ht="20.25">
      <c r="A21" s="86" t="s">
        <v>136</v>
      </c>
      <c r="B21" s="87" t="s">
        <v>139</v>
      </c>
      <c r="C21" s="88">
        <v>0</v>
      </c>
      <c r="D21" s="89"/>
      <c r="E21" s="88">
        <v>0</v>
      </c>
    </row>
    <row x14ac:dyDescent="0.25" r="22" customHeight="1" ht="20.25">
      <c r="A22" s="86" t="s">
        <v>136</v>
      </c>
      <c r="B22" s="87" t="s">
        <v>140</v>
      </c>
      <c r="C22" s="88">
        <v>0</v>
      </c>
      <c r="D22" s="90" t="s">
        <v>141</v>
      </c>
      <c r="E22" s="88">
        <v>12732</v>
      </c>
    </row>
    <row x14ac:dyDescent="0.25" r="23" customHeight="1" ht="20.25">
      <c r="A23" s="86" t="s">
        <v>136</v>
      </c>
      <c r="B23" s="87" t="s">
        <v>142</v>
      </c>
      <c r="C23" s="88">
        <v>0</v>
      </c>
      <c r="D23" s="89" t="s">
        <v>141</v>
      </c>
      <c r="E23" s="88">
        <v>1000</v>
      </c>
    </row>
    <row x14ac:dyDescent="0.25" r="24" customHeight="1" ht="20.25">
      <c r="A24" s="86" t="s">
        <v>136</v>
      </c>
      <c r="B24" s="87" t="s">
        <v>143</v>
      </c>
      <c r="C24" s="88">
        <v>0</v>
      </c>
      <c r="D24" s="89"/>
      <c r="E24" s="88">
        <v>7314</v>
      </c>
    </row>
    <row x14ac:dyDescent="0.25" r="25" customHeight="1" ht="20.25">
      <c r="A25" s="86" t="s">
        <v>144</v>
      </c>
      <c r="B25" s="87" t="s">
        <v>145</v>
      </c>
      <c r="C25" s="88">
        <v>0</v>
      </c>
      <c r="D25" s="89" t="s">
        <v>146</v>
      </c>
      <c r="E25" s="88">
        <v>32</v>
      </c>
    </row>
    <row x14ac:dyDescent="0.25" r="26" customHeight="1" ht="20.25">
      <c r="A26" s="86" t="s">
        <v>144</v>
      </c>
      <c r="B26" s="87" t="s">
        <v>147</v>
      </c>
      <c r="C26" s="88">
        <v>0</v>
      </c>
      <c r="D26" s="89" t="s">
        <v>146</v>
      </c>
      <c r="E26" s="88">
        <v>32</v>
      </c>
    </row>
    <row x14ac:dyDescent="0.25" r="27" customHeight="1" ht="20.25">
      <c r="A27" s="86" t="s">
        <v>144</v>
      </c>
      <c r="B27" s="87" t="s">
        <v>148</v>
      </c>
      <c r="C27" s="88">
        <v>1800</v>
      </c>
      <c r="D27" s="90" t="s">
        <v>149</v>
      </c>
      <c r="E27" s="88">
        <v>3785</v>
      </c>
    </row>
    <row x14ac:dyDescent="0.25" r="28" customHeight="1" ht="20.25">
      <c r="A28" s="86" t="s">
        <v>112</v>
      </c>
      <c r="B28" s="87" t="s">
        <v>150</v>
      </c>
      <c r="C28" s="88">
        <v>150</v>
      </c>
      <c r="D28" s="89" t="s">
        <v>116</v>
      </c>
      <c r="E28" s="88">
        <v>150</v>
      </c>
    </row>
    <row x14ac:dyDescent="0.25" r="29" customHeight="1" ht="20.25">
      <c r="A29" s="86" t="s">
        <v>112</v>
      </c>
      <c r="B29" s="87" t="s">
        <v>151</v>
      </c>
      <c r="C29" s="88">
        <v>464</v>
      </c>
      <c r="D29" s="89" t="s">
        <v>131</v>
      </c>
      <c r="E29" s="88">
        <v>464</v>
      </c>
    </row>
    <row x14ac:dyDescent="0.25" r="30" customHeight="1" ht="20.25">
      <c r="A30" s="86" t="s">
        <v>112</v>
      </c>
      <c r="B30" s="87" t="s">
        <v>152</v>
      </c>
      <c r="C30" s="88">
        <v>464</v>
      </c>
      <c r="D30" s="89" t="s">
        <v>131</v>
      </c>
      <c r="E30" s="88">
        <v>464</v>
      </c>
    </row>
    <row x14ac:dyDescent="0.25" r="31" customHeight="1" ht="20.25">
      <c r="A31" s="86" t="s">
        <v>144</v>
      </c>
      <c r="B31" s="87" t="s">
        <v>153</v>
      </c>
      <c r="C31" s="88">
        <v>0</v>
      </c>
      <c r="D31" s="89" t="s">
        <v>131</v>
      </c>
      <c r="E31" s="88">
        <v>650</v>
      </c>
    </row>
    <row x14ac:dyDescent="0.25" r="32" customHeight="1" ht="20.25">
      <c r="A32" s="86" t="s">
        <v>144</v>
      </c>
      <c r="B32" s="87" t="s">
        <v>154</v>
      </c>
      <c r="C32" s="88">
        <v>0</v>
      </c>
      <c r="D32" s="89" t="s">
        <v>131</v>
      </c>
      <c r="E32" s="88">
        <v>650</v>
      </c>
    </row>
    <row x14ac:dyDescent="0.25" r="33" customHeight="1" ht="20.25">
      <c r="A33" s="86" t="s">
        <v>144</v>
      </c>
      <c r="B33" s="87" t="s">
        <v>155</v>
      </c>
      <c r="C33" s="88">
        <v>0</v>
      </c>
      <c r="D33" s="89" t="s">
        <v>124</v>
      </c>
      <c r="E33" s="88">
        <v>1600</v>
      </c>
    </row>
    <row x14ac:dyDescent="0.25" r="34" customHeight="1" ht="20.25">
      <c r="A34" s="86" t="s">
        <v>144</v>
      </c>
      <c r="B34" s="87" t="s">
        <v>156</v>
      </c>
      <c r="C34" s="88">
        <v>0</v>
      </c>
      <c r="D34" s="89" t="s">
        <v>124</v>
      </c>
      <c r="E34" s="88">
        <v>750</v>
      </c>
    </row>
    <row x14ac:dyDescent="0.25" r="35" customHeight="1" ht="18.75">
      <c r="A35" s="86" t="s">
        <v>144</v>
      </c>
      <c r="B35" s="87" t="s">
        <v>157</v>
      </c>
      <c r="C35" s="88">
        <v>0</v>
      </c>
      <c r="D35" s="89" t="s">
        <v>124</v>
      </c>
      <c r="E35" s="88">
        <v>750</v>
      </c>
    </row>
    <row x14ac:dyDescent="0.25" r="36" customHeight="1" ht="18.75">
      <c r="A36" s="86" t="s">
        <v>112</v>
      </c>
      <c r="B36" s="87" t="s">
        <v>158</v>
      </c>
      <c r="C36" s="88">
        <v>450</v>
      </c>
      <c r="D36" s="89" t="s">
        <v>159</v>
      </c>
      <c r="E36" s="88">
        <v>450</v>
      </c>
    </row>
    <row x14ac:dyDescent="0.25" r="37" customHeight="1" ht="18.75">
      <c r="A37" s="86" t="s">
        <v>112</v>
      </c>
      <c r="B37" s="87" t="s">
        <v>160</v>
      </c>
      <c r="C37" s="88">
        <v>450</v>
      </c>
      <c r="D37" s="89" t="s">
        <v>159</v>
      </c>
      <c r="E37" s="88">
        <v>450</v>
      </c>
    </row>
    <row x14ac:dyDescent="0.25" r="38" customHeight="1" ht="18.75">
      <c r="A38" s="86" t="s">
        <v>144</v>
      </c>
      <c r="B38" s="87" t="s">
        <v>161</v>
      </c>
      <c r="C38" s="88">
        <v>0</v>
      </c>
      <c r="D38" s="89" t="s">
        <v>159</v>
      </c>
      <c r="E38" s="88">
        <v>450</v>
      </c>
    </row>
    <row x14ac:dyDescent="0.25" r="39" customHeight="1" ht="18.75">
      <c r="A39" s="86" t="s">
        <v>144</v>
      </c>
      <c r="B39" s="87" t="s">
        <v>162</v>
      </c>
      <c r="C39" s="88">
        <v>0</v>
      </c>
      <c r="D39" s="89" t="s">
        <v>159</v>
      </c>
      <c r="E39" s="88">
        <v>450</v>
      </c>
    </row>
    <row x14ac:dyDescent="0.25" r="40" customHeight="1" ht="18.75">
      <c r="A40" s="86" t="s">
        <v>112</v>
      </c>
      <c r="B40" s="87" t="s">
        <v>163</v>
      </c>
      <c r="C40" s="88">
        <v>370</v>
      </c>
      <c r="D40" s="89" t="s">
        <v>146</v>
      </c>
      <c r="E40" s="88">
        <v>370</v>
      </c>
    </row>
    <row x14ac:dyDescent="0.25" r="41" customHeight="1" ht="18.75">
      <c r="A41" s="86" t="s">
        <v>112</v>
      </c>
      <c r="B41" s="87" t="s">
        <v>164</v>
      </c>
      <c r="C41" s="88">
        <v>450</v>
      </c>
      <c r="D41" s="89" t="s">
        <v>165</v>
      </c>
      <c r="E41" s="88">
        <v>450</v>
      </c>
    </row>
    <row x14ac:dyDescent="0.25" r="42" customHeight="1" ht="18.75">
      <c r="A42" s="86" t="s">
        <v>112</v>
      </c>
      <c r="B42" s="87" t="s">
        <v>166</v>
      </c>
      <c r="C42" s="88">
        <v>450</v>
      </c>
      <c r="D42" s="89" t="s">
        <v>165</v>
      </c>
      <c r="E42" s="88">
        <v>450</v>
      </c>
    </row>
    <row x14ac:dyDescent="0.25" r="43" customHeight="1" ht="18.75">
      <c r="A43" s="86" t="s">
        <v>112</v>
      </c>
      <c r="B43" s="87" t="s">
        <v>167</v>
      </c>
      <c r="C43" s="88">
        <v>240</v>
      </c>
      <c r="D43" s="89" t="s">
        <v>168</v>
      </c>
      <c r="E43" s="88">
        <v>240</v>
      </c>
    </row>
    <row x14ac:dyDescent="0.25" r="44" customHeight="1" ht="18.75">
      <c r="A44" s="86" t="s">
        <v>112</v>
      </c>
      <c r="B44" s="87" t="s">
        <v>169</v>
      </c>
      <c r="C44" s="88">
        <v>280</v>
      </c>
      <c r="D44" s="89" t="s">
        <v>134</v>
      </c>
      <c r="E44" s="88">
        <v>280</v>
      </c>
    </row>
    <row x14ac:dyDescent="0.25" r="45" customHeight="1" ht="18.75">
      <c r="A45" s="86" t="s">
        <v>112</v>
      </c>
      <c r="B45" s="87" t="s">
        <v>170</v>
      </c>
      <c r="C45" s="88">
        <v>280</v>
      </c>
      <c r="D45" s="89" t="s">
        <v>134</v>
      </c>
      <c r="E45" s="88">
        <v>280</v>
      </c>
    </row>
    <row x14ac:dyDescent="0.25" r="46" customHeight="1" ht="18.75">
      <c r="A46" s="86" t="s">
        <v>112</v>
      </c>
      <c r="B46" s="87" t="s">
        <v>171</v>
      </c>
      <c r="C46" s="88">
        <v>240</v>
      </c>
      <c r="D46" s="89" t="s">
        <v>168</v>
      </c>
      <c r="E46" s="88">
        <v>240</v>
      </c>
    </row>
    <row x14ac:dyDescent="0.25" r="47" customHeight="1" ht="18.75">
      <c r="A47" s="86" t="s">
        <v>112</v>
      </c>
      <c r="B47" s="87" t="s">
        <v>172</v>
      </c>
      <c r="C47" s="88">
        <v>174</v>
      </c>
      <c r="D47" s="89" t="s">
        <v>173</v>
      </c>
      <c r="E47" s="88">
        <v>174</v>
      </c>
    </row>
    <row x14ac:dyDescent="0.25" r="48" customHeight="1" ht="18.75">
      <c r="A48" s="86" t="s">
        <v>112</v>
      </c>
      <c r="B48" s="87" t="s">
        <v>174</v>
      </c>
      <c r="C48" s="88">
        <v>220</v>
      </c>
      <c r="D48" s="89" t="s">
        <v>175</v>
      </c>
      <c r="E48" s="88">
        <v>240</v>
      </c>
    </row>
    <row x14ac:dyDescent="0.25" r="49" customHeight="1" ht="18.75">
      <c r="A49" s="86" t="s">
        <v>112</v>
      </c>
      <c r="B49" s="87" t="s">
        <v>176</v>
      </c>
      <c r="C49" s="88">
        <v>270</v>
      </c>
      <c r="D49" s="89" t="s">
        <v>177</v>
      </c>
      <c r="E49" s="88">
        <v>270</v>
      </c>
    </row>
    <row x14ac:dyDescent="0.25" r="50" customHeight="1" ht="18.75">
      <c r="A50" s="86" t="s">
        <v>112</v>
      </c>
      <c r="B50" s="87" t="s">
        <v>178</v>
      </c>
      <c r="C50" s="88">
        <v>230</v>
      </c>
      <c r="D50" s="89" t="s">
        <v>168</v>
      </c>
      <c r="E50" s="88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9"/>
  <sheetViews>
    <sheetView workbookViewId="0"/>
  </sheetViews>
  <sheetFormatPr defaultRowHeight="15" x14ac:dyDescent="0.25"/>
  <cols>
    <col min="1" max="1" style="6" width="27.719285714285714" customWidth="1" bestFit="1"/>
    <col min="2" max="2" style="80" width="12.719285714285713" customWidth="1" bestFit="1"/>
    <col min="3" max="3" style="81" width="12.719285714285713" customWidth="1" bestFit="1"/>
    <col min="4" max="4" style="81" width="12.719285714285713" customWidth="1" bestFit="1"/>
    <col min="5" max="5" style="81" width="12.719285714285713" customWidth="1" bestFit="1"/>
    <col min="6" max="6" style="81" width="12.719285714285713" customWidth="1" bestFit="1"/>
    <col min="7" max="7" style="81" width="12.719285714285713" customWidth="1" bestFit="1"/>
    <col min="8" max="8" style="81" width="12.719285714285713" customWidth="1" bestFit="1"/>
    <col min="9" max="9" style="81" width="12.719285714285713" customWidth="1" bestFit="1"/>
    <col min="10" max="10" style="81" width="12.719285714285713" customWidth="1" bestFit="1"/>
    <col min="11" max="11" style="82" width="5.719285714285714" customWidth="1" bestFit="1"/>
    <col min="12" max="12" style="5" width="6.576428571428571" customWidth="1" bestFit="1"/>
  </cols>
  <sheetData>
    <row x14ac:dyDescent="0.25" r="1" customHeight="1" ht="18.75">
      <c r="A1" s="7" t="s">
        <v>27</v>
      </c>
      <c r="B1" s="7"/>
      <c r="C1" s="8">
        <v>2023</v>
      </c>
      <c r="D1" s="8">
        <v>2024</v>
      </c>
      <c r="E1" s="8">
        <v>2025</v>
      </c>
      <c r="F1" s="8">
        <v>2026</v>
      </c>
      <c r="G1" s="8">
        <v>2027</v>
      </c>
      <c r="H1" s="8">
        <v>2028</v>
      </c>
      <c r="I1" s="8">
        <v>2029</v>
      </c>
      <c r="J1" s="8">
        <v>2030</v>
      </c>
      <c r="K1" s="9"/>
      <c r="L1" s="3"/>
    </row>
    <row x14ac:dyDescent="0.25" r="2" customHeight="1" ht="18.75">
      <c r="A2" s="10" t="s">
        <v>28</v>
      </c>
      <c r="B2" s="10"/>
      <c r="C2" s="11"/>
      <c r="D2" s="11"/>
      <c r="E2" s="11"/>
      <c r="F2" s="11"/>
      <c r="G2" s="11"/>
      <c r="H2" s="11"/>
      <c r="I2" s="11"/>
      <c r="J2" s="11"/>
      <c r="K2" s="3"/>
      <c r="L2" s="3"/>
    </row>
    <row x14ac:dyDescent="0.25" r="3" customHeight="1" ht="18.75">
      <c r="A3" s="12" t="s">
        <v>29</v>
      </c>
      <c r="B3" s="12" t="s">
        <v>30</v>
      </c>
      <c r="C3" s="13">
        <f>C7+C11</f>
      </c>
      <c r="D3" s="13">
        <f>D7+D11</f>
      </c>
      <c r="E3" s="13">
        <f>E7+E11</f>
      </c>
      <c r="F3" s="13">
        <f>F7+F11</f>
      </c>
      <c r="G3" s="13">
        <f>G7+G11</f>
      </c>
      <c r="H3" s="13">
        <f>H7+H11</f>
      </c>
      <c r="I3" s="13">
        <f>I7+I11</f>
      </c>
      <c r="J3" s="13">
        <f>J7+J11</f>
      </c>
      <c r="K3" s="3"/>
      <c r="L3" s="3"/>
    </row>
    <row x14ac:dyDescent="0.25" r="4" customHeight="1" ht="18.75">
      <c r="A4" s="12" t="s">
        <v>31</v>
      </c>
      <c r="B4" s="12" t="s">
        <v>32</v>
      </c>
      <c r="C4" s="13">
        <f>C8+C12</f>
      </c>
      <c r="D4" s="13">
        <f>D8+D12</f>
      </c>
      <c r="E4" s="13">
        <f>E8+E12</f>
      </c>
      <c r="F4" s="13">
        <f>F8+F12</f>
      </c>
      <c r="G4" s="13">
        <f>G8+G12</f>
      </c>
      <c r="H4" s="13">
        <f>H8+H12</f>
      </c>
      <c r="I4" s="13">
        <f>I8+I12</f>
      </c>
      <c r="J4" s="13">
        <f>J8+J12</f>
      </c>
      <c r="K4" s="3"/>
      <c r="L4" s="3"/>
    </row>
    <row x14ac:dyDescent="0.25" r="5" customHeight="1" ht="18.75">
      <c r="A5" s="10" t="s">
        <v>33</v>
      </c>
      <c r="B5" s="10"/>
      <c r="C5" s="11"/>
      <c r="D5" s="11"/>
      <c r="E5" s="11"/>
      <c r="F5" s="11"/>
      <c r="G5" s="11"/>
      <c r="H5" s="11"/>
      <c r="I5" s="11"/>
      <c r="J5" s="11"/>
      <c r="K5" s="3"/>
      <c r="L5" s="3"/>
    </row>
    <row x14ac:dyDescent="0.25" r="6" customHeight="1" ht="18.75">
      <c r="A6" s="12" t="s">
        <v>34</v>
      </c>
      <c r="B6" s="12" t="s">
        <v>35</v>
      </c>
      <c r="C6" s="13">
        <v>2023</v>
      </c>
      <c r="D6" s="13">
        <v>2024</v>
      </c>
      <c r="E6" s="13">
        <v>2025</v>
      </c>
      <c r="F6" s="13">
        <v>2026</v>
      </c>
      <c r="G6" s="13">
        <v>2027</v>
      </c>
      <c r="H6" s="13">
        <v>2028</v>
      </c>
      <c r="I6" s="13">
        <v>2029</v>
      </c>
      <c r="J6" s="13">
        <v>2030</v>
      </c>
      <c r="K6" s="3"/>
      <c r="L6" s="3"/>
    </row>
    <row x14ac:dyDescent="0.25" r="7" customHeight="1" ht="18.75">
      <c r="A7" s="12" t="s">
        <v>29</v>
      </c>
      <c r="B7" s="12" t="s">
        <v>30</v>
      </c>
      <c r="C7" s="13">
        <v>200</v>
      </c>
      <c r="D7" s="13">
        <v>2097</v>
      </c>
      <c r="E7" s="13">
        <v>3960</v>
      </c>
      <c r="F7" s="13">
        <v>6275</v>
      </c>
      <c r="G7" s="13">
        <v>6975</v>
      </c>
      <c r="H7" s="13">
        <v>7675</v>
      </c>
      <c r="I7" s="13">
        <v>9075</v>
      </c>
      <c r="J7" s="13">
        <v>9075</v>
      </c>
      <c r="K7" s="3"/>
      <c r="L7" s="3"/>
    </row>
    <row x14ac:dyDescent="0.25" r="8" customHeight="1" ht="18.75">
      <c r="A8" s="12" t="s">
        <v>31</v>
      </c>
      <c r="B8" s="12" t="s">
        <v>36</v>
      </c>
      <c r="C8" s="13">
        <v>560</v>
      </c>
      <c r="D8" s="13">
        <v>4403.7</v>
      </c>
      <c r="E8" s="13">
        <v>8316</v>
      </c>
      <c r="F8" s="13">
        <v>13177.5</v>
      </c>
      <c r="G8" s="13">
        <v>14647.5</v>
      </c>
      <c r="H8" s="13">
        <v>16117.5</v>
      </c>
      <c r="I8" s="13">
        <v>19057.5</v>
      </c>
      <c r="J8" s="13">
        <v>19057.5</v>
      </c>
      <c r="K8" s="3"/>
      <c r="L8" s="3"/>
    </row>
    <row x14ac:dyDescent="0.25" r="9" customHeight="1" ht="18.75">
      <c r="A9" s="10" t="s">
        <v>37</v>
      </c>
      <c r="B9" s="10"/>
      <c r="C9" s="11"/>
      <c r="D9" s="11"/>
      <c r="E9" s="11"/>
      <c r="F9" s="11"/>
      <c r="G9" s="11"/>
      <c r="H9" s="11"/>
      <c r="I9" s="11"/>
      <c r="J9" s="11"/>
      <c r="K9" s="3"/>
      <c r="L9" s="3"/>
    </row>
    <row x14ac:dyDescent="0.25" r="10" customHeight="1" ht="18.75">
      <c r="A10" s="12" t="s">
        <v>34</v>
      </c>
      <c r="B10" s="12" t="s">
        <v>35</v>
      </c>
      <c r="C10" s="13">
        <v>2023</v>
      </c>
      <c r="D10" s="13">
        <v>2024</v>
      </c>
      <c r="E10" s="13">
        <v>2025</v>
      </c>
      <c r="F10" s="13">
        <v>2026</v>
      </c>
      <c r="G10" s="13">
        <v>2027</v>
      </c>
      <c r="H10" s="13">
        <v>2028</v>
      </c>
      <c r="I10" s="13">
        <v>2029</v>
      </c>
      <c r="J10" s="13">
        <v>2030</v>
      </c>
      <c r="K10" s="3"/>
      <c r="L10" s="3"/>
    </row>
    <row x14ac:dyDescent="0.25" r="11" customHeight="1" ht="18.75">
      <c r="A11" s="12" t="s">
        <v>29</v>
      </c>
      <c r="B11" s="12" t="s">
        <v>30</v>
      </c>
      <c r="C11" s="13">
        <v>0</v>
      </c>
      <c r="D11" s="13">
        <v>150</v>
      </c>
      <c r="E11" s="13">
        <v>900</v>
      </c>
      <c r="F11" s="13">
        <v>2000</v>
      </c>
      <c r="G11" s="13">
        <v>3000</v>
      </c>
      <c r="H11" s="13">
        <v>5450</v>
      </c>
      <c r="I11" s="13">
        <v>10000</v>
      </c>
      <c r="J11" s="13">
        <v>18000</v>
      </c>
      <c r="K11" s="3"/>
      <c r="L11" s="3"/>
    </row>
    <row x14ac:dyDescent="0.25" r="12" customHeight="1" ht="18.75">
      <c r="A12" s="12" t="s">
        <v>31</v>
      </c>
      <c r="B12" s="12" t="s">
        <v>32</v>
      </c>
      <c r="C12" s="13">
        <v>5</v>
      </c>
      <c r="D12" s="13">
        <v>525</v>
      </c>
      <c r="E12" s="13">
        <v>3150</v>
      </c>
      <c r="F12" s="13">
        <v>7000</v>
      </c>
      <c r="G12" s="13">
        <v>10500</v>
      </c>
      <c r="H12" s="13">
        <v>19075</v>
      </c>
      <c r="I12" s="13">
        <v>35000</v>
      </c>
      <c r="J12" s="13">
        <v>63000</v>
      </c>
      <c r="K12" s="3"/>
      <c r="L12" s="3"/>
    </row>
    <row x14ac:dyDescent="0.25" r="13" customHeight="1" ht="18.75">
      <c r="A13" s="12"/>
      <c r="B13" s="12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x14ac:dyDescent="0.25" r="14" customHeight="1" ht="18.75">
      <c r="A14" s="15" t="s">
        <v>38</v>
      </c>
      <c r="B14" s="16"/>
      <c r="C14" s="17"/>
      <c r="D14" s="17"/>
      <c r="E14" s="17"/>
      <c r="F14" s="17"/>
      <c r="G14" s="17"/>
      <c r="H14" s="17"/>
      <c r="I14" s="17"/>
      <c r="J14" s="17"/>
      <c r="K14" s="3"/>
      <c r="L14" s="3"/>
    </row>
    <row x14ac:dyDescent="0.25" r="15" customHeight="1" ht="18.75">
      <c r="A15" s="18"/>
      <c r="B15" s="19" t="s">
        <v>35</v>
      </c>
      <c r="C15" s="20">
        <v>2023</v>
      </c>
      <c r="D15" s="21">
        <v>2024</v>
      </c>
      <c r="E15" s="20">
        <v>2025</v>
      </c>
      <c r="F15" s="21">
        <v>2026</v>
      </c>
      <c r="G15" s="20">
        <v>2027</v>
      </c>
      <c r="H15" s="21">
        <v>2028</v>
      </c>
      <c r="I15" s="20">
        <v>2029</v>
      </c>
      <c r="J15" s="21">
        <v>2030</v>
      </c>
      <c r="K15" s="22" t="s">
        <v>39</v>
      </c>
      <c r="L15" s="23"/>
    </row>
    <row x14ac:dyDescent="0.25" r="16" customHeight="1" ht="18.75">
      <c r="A16" s="24" t="s">
        <v>40</v>
      </c>
      <c r="B16" s="25" t="s">
        <v>30</v>
      </c>
      <c r="C16" s="26">
        <v>100</v>
      </c>
      <c r="D16" s="27">
        <v>100</v>
      </c>
      <c r="E16" s="26">
        <v>100</v>
      </c>
      <c r="F16" s="27">
        <v>100</v>
      </c>
      <c r="G16" s="26">
        <v>100</v>
      </c>
      <c r="H16" s="27">
        <v>100</v>
      </c>
      <c r="I16" s="26">
        <v>100</v>
      </c>
      <c r="J16" s="27">
        <v>100</v>
      </c>
      <c r="K16" s="28" t="s">
        <v>41</v>
      </c>
      <c r="L16" s="29" t="s">
        <v>42</v>
      </c>
    </row>
    <row x14ac:dyDescent="0.25" r="17" customHeight="1" ht="18.75">
      <c r="A17" s="30" t="s">
        <v>43</v>
      </c>
      <c r="B17" s="31" t="s">
        <v>30</v>
      </c>
      <c r="C17" s="32">
        <v>100</v>
      </c>
      <c r="D17" s="33">
        <v>100</v>
      </c>
      <c r="E17" s="32">
        <v>100</v>
      </c>
      <c r="F17" s="33">
        <v>165</v>
      </c>
      <c r="G17" s="32">
        <v>165</v>
      </c>
      <c r="H17" s="33">
        <v>165</v>
      </c>
      <c r="I17" s="32">
        <v>165</v>
      </c>
      <c r="J17" s="33">
        <v>165</v>
      </c>
      <c r="K17" s="34"/>
      <c r="L17" s="29" t="s">
        <v>42</v>
      </c>
    </row>
    <row x14ac:dyDescent="0.25" r="18" customHeight="1" ht="18.75">
      <c r="A18" s="30" t="s">
        <v>44</v>
      </c>
      <c r="B18" s="31" t="s">
        <v>30</v>
      </c>
      <c r="C18" s="32">
        <v>220</v>
      </c>
      <c r="D18" s="33">
        <v>220</v>
      </c>
      <c r="E18" s="32">
        <v>220</v>
      </c>
      <c r="F18" s="33">
        <v>220</v>
      </c>
      <c r="G18" s="32">
        <v>220</v>
      </c>
      <c r="H18" s="33">
        <v>220</v>
      </c>
      <c r="I18" s="32">
        <v>220</v>
      </c>
      <c r="J18" s="33">
        <v>220</v>
      </c>
      <c r="K18" s="34"/>
      <c r="L18" s="29" t="s">
        <v>42</v>
      </c>
    </row>
    <row x14ac:dyDescent="0.25" r="19" customHeight="1" ht="18.75">
      <c r="A19" s="30" t="s">
        <v>45</v>
      </c>
      <c r="B19" s="31" t="s">
        <v>30</v>
      </c>
      <c r="C19" s="32">
        <v>220</v>
      </c>
      <c r="D19" s="33">
        <v>220</v>
      </c>
      <c r="E19" s="32">
        <v>220</v>
      </c>
      <c r="F19" s="33">
        <v>220</v>
      </c>
      <c r="G19" s="32">
        <v>220</v>
      </c>
      <c r="H19" s="33">
        <v>220</v>
      </c>
      <c r="I19" s="32">
        <v>220</v>
      </c>
      <c r="J19" s="33">
        <v>220</v>
      </c>
      <c r="K19" s="34"/>
      <c r="L19" s="29" t="s">
        <v>42</v>
      </c>
    </row>
    <row x14ac:dyDescent="0.25" r="20" customHeight="1" ht="18.75">
      <c r="A20" s="30" t="s">
        <v>46</v>
      </c>
      <c r="B20" s="31" t="s">
        <v>30</v>
      </c>
      <c r="C20" s="32">
        <v>457</v>
      </c>
      <c r="D20" s="33">
        <v>457</v>
      </c>
      <c r="E20" s="32">
        <v>457</v>
      </c>
      <c r="F20" s="33">
        <v>457</v>
      </c>
      <c r="G20" s="32">
        <v>457</v>
      </c>
      <c r="H20" s="33">
        <v>457</v>
      </c>
      <c r="I20" s="32">
        <v>457</v>
      </c>
      <c r="J20" s="33">
        <v>457</v>
      </c>
      <c r="K20" s="34"/>
      <c r="L20" s="29" t="s">
        <v>42</v>
      </c>
    </row>
    <row x14ac:dyDescent="0.25" r="21" customHeight="1" ht="18.75">
      <c r="A21" s="30" t="s">
        <v>47</v>
      </c>
      <c r="B21" s="31" t="s">
        <v>30</v>
      </c>
      <c r="C21" s="32"/>
      <c r="D21" s="33">
        <v>200</v>
      </c>
      <c r="E21" s="32">
        <v>200</v>
      </c>
      <c r="F21" s="33">
        <v>200</v>
      </c>
      <c r="G21" s="32">
        <v>200</v>
      </c>
      <c r="H21" s="33">
        <v>200</v>
      </c>
      <c r="I21" s="32">
        <v>200</v>
      </c>
      <c r="J21" s="33">
        <v>200</v>
      </c>
      <c r="K21" s="34"/>
      <c r="L21" s="29" t="s">
        <v>42</v>
      </c>
    </row>
    <row x14ac:dyDescent="0.25" r="22" customHeight="1" ht="18.75">
      <c r="A22" s="30" t="s">
        <v>48</v>
      </c>
      <c r="B22" s="31" t="s">
        <v>30</v>
      </c>
      <c r="C22" s="32"/>
      <c r="D22" s="33"/>
      <c r="E22" s="32"/>
      <c r="F22" s="33">
        <v>100</v>
      </c>
      <c r="G22" s="32">
        <v>500</v>
      </c>
      <c r="H22" s="33">
        <v>1000</v>
      </c>
      <c r="I22" s="32">
        <v>1000</v>
      </c>
      <c r="J22" s="33">
        <v>1000</v>
      </c>
      <c r="K22" s="34"/>
      <c r="L22" s="29" t="s">
        <v>42</v>
      </c>
    </row>
    <row x14ac:dyDescent="0.25" r="23" customHeight="1" ht="18.75">
      <c r="A23" s="30" t="s">
        <v>49</v>
      </c>
      <c r="B23" s="31" t="s">
        <v>30</v>
      </c>
      <c r="C23" s="32"/>
      <c r="D23" s="33"/>
      <c r="E23" s="32"/>
      <c r="F23" s="33">
        <v>250</v>
      </c>
      <c r="G23" s="32">
        <v>250</v>
      </c>
      <c r="H23" s="33">
        <v>250</v>
      </c>
      <c r="I23" s="32">
        <v>250</v>
      </c>
      <c r="J23" s="33">
        <v>250</v>
      </c>
      <c r="K23" s="34"/>
      <c r="L23" s="29" t="s">
        <v>42</v>
      </c>
    </row>
    <row x14ac:dyDescent="0.25" r="24" customHeight="1" ht="18.75">
      <c r="A24" s="30" t="s">
        <v>50</v>
      </c>
      <c r="B24" s="31" t="s">
        <v>30</v>
      </c>
      <c r="C24" s="32"/>
      <c r="D24" s="33"/>
      <c r="E24" s="32">
        <v>50</v>
      </c>
      <c r="F24" s="33">
        <v>100</v>
      </c>
      <c r="G24" s="32">
        <v>100</v>
      </c>
      <c r="H24" s="33">
        <v>100</v>
      </c>
      <c r="I24" s="32">
        <v>100</v>
      </c>
      <c r="J24" s="33">
        <v>100</v>
      </c>
      <c r="K24" s="34"/>
      <c r="L24" s="29" t="s">
        <v>42</v>
      </c>
    </row>
    <row x14ac:dyDescent="0.25" r="25" customHeight="1" ht="18.75">
      <c r="A25" s="30" t="s">
        <v>51</v>
      </c>
      <c r="B25" s="31" t="s">
        <v>30</v>
      </c>
      <c r="C25" s="32">
        <v>200</v>
      </c>
      <c r="D25" s="33">
        <v>500</v>
      </c>
      <c r="E25" s="32">
        <v>500</v>
      </c>
      <c r="F25" s="33">
        <v>500</v>
      </c>
      <c r="G25" s="32">
        <v>500</v>
      </c>
      <c r="H25" s="33">
        <v>500</v>
      </c>
      <c r="I25" s="32">
        <v>500</v>
      </c>
      <c r="J25" s="33">
        <v>500</v>
      </c>
      <c r="K25" s="34"/>
      <c r="L25" s="29" t="s">
        <v>42</v>
      </c>
    </row>
    <row x14ac:dyDescent="0.25" r="26" customHeight="1" ht="18.75">
      <c r="A26" s="30" t="s">
        <v>52</v>
      </c>
      <c r="B26" s="31" t="s">
        <v>30</v>
      </c>
      <c r="C26" s="32">
        <v>200</v>
      </c>
      <c r="D26" s="33">
        <v>500</v>
      </c>
      <c r="E26" s="32">
        <v>500</v>
      </c>
      <c r="F26" s="33">
        <v>500</v>
      </c>
      <c r="G26" s="32">
        <v>500</v>
      </c>
      <c r="H26" s="33">
        <v>500</v>
      </c>
      <c r="I26" s="32">
        <v>500</v>
      </c>
      <c r="J26" s="33">
        <v>500</v>
      </c>
      <c r="K26" s="34"/>
      <c r="L26" s="29" t="s">
        <v>42</v>
      </c>
    </row>
    <row x14ac:dyDescent="0.25" r="27" customHeight="1" ht="18.75">
      <c r="A27" s="30" t="s">
        <v>53</v>
      </c>
      <c r="B27" s="31" t="s">
        <v>30</v>
      </c>
      <c r="C27" s="32"/>
      <c r="D27" s="33"/>
      <c r="E27" s="32"/>
      <c r="F27" s="33">
        <v>300</v>
      </c>
      <c r="G27" s="32">
        <v>300</v>
      </c>
      <c r="H27" s="33">
        <v>300</v>
      </c>
      <c r="I27" s="32">
        <v>300</v>
      </c>
      <c r="J27" s="33">
        <v>300</v>
      </c>
      <c r="K27" s="34"/>
      <c r="L27" s="29" t="s">
        <v>42</v>
      </c>
    </row>
    <row x14ac:dyDescent="0.25" r="28" customHeight="1" ht="18.75">
      <c r="A28" s="30" t="s">
        <v>54</v>
      </c>
      <c r="B28" s="31" t="s">
        <v>30</v>
      </c>
      <c r="C28" s="32"/>
      <c r="D28" s="33">
        <v>200</v>
      </c>
      <c r="E28" s="32">
        <v>500</v>
      </c>
      <c r="F28" s="33">
        <v>500</v>
      </c>
      <c r="G28" s="32">
        <v>500</v>
      </c>
      <c r="H28" s="33">
        <v>500</v>
      </c>
      <c r="I28" s="32">
        <v>500</v>
      </c>
      <c r="J28" s="33">
        <v>500</v>
      </c>
      <c r="K28" s="34"/>
      <c r="L28" s="29" t="s">
        <v>55</v>
      </c>
    </row>
    <row x14ac:dyDescent="0.25" r="29" customHeight="1" ht="18.75">
      <c r="A29" s="30" t="s">
        <v>56</v>
      </c>
      <c r="B29" s="31" t="s">
        <v>30</v>
      </c>
      <c r="C29" s="32">
        <v>30</v>
      </c>
      <c r="D29" s="33">
        <v>30</v>
      </c>
      <c r="E29" s="32">
        <v>30</v>
      </c>
      <c r="F29" s="33">
        <v>30</v>
      </c>
      <c r="G29" s="32">
        <v>30</v>
      </c>
      <c r="H29" s="33">
        <v>30</v>
      </c>
      <c r="I29" s="32">
        <v>30</v>
      </c>
      <c r="J29" s="33">
        <v>30</v>
      </c>
      <c r="K29" s="34"/>
      <c r="L29" s="29" t="s">
        <v>42</v>
      </c>
    </row>
    <row x14ac:dyDescent="0.25" r="30" customHeight="1" ht="18.75">
      <c r="A30" s="35" t="s">
        <v>57</v>
      </c>
      <c r="B30" s="36" t="s">
        <v>30</v>
      </c>
      <c r="C30" s="37"/>
      <c r="D30" s="33">
        <v>200</v>
      </c>
      <c r="E30" s="37">
        <v>200</v>
      </c>
      <c r="F30" s="38">
        <v>200</v>
      </c>
      <c r="G30" s="37">
        <v>200</v>
      </c>
      <c r="H30" s="38">
        <v>200</v>
      </c>
      <c r="I30" s="37">
        <v>200</v>
      </c>
      <c r="J30" s="38">
        <v>200</v>
      </c>
      <c r="K30" s="34"/>
      <c r="L30" s="29" t="s">
        <v>55</v>
      </c>
    </row>
    <row x14ac:dyDescent="0.25" r="31" customHeight="1" ht="18.75">
      <c r="A31" s="35" t="s">
        <v>58</v>
      </c>
      <c r="B31" s="39" t="s">
        <v>30</v>
      </c>
      <c r="C31" s="32"/>
      <c r="D31" s="33"/>
      <c r="E31" s="32">
        <v>100</v>
      </c>
      <c r="F31" s="33">
        <v>200</v>
      </c>
      <c r="G31" s="32">
        <v>500</v>
      </c>
      <c r="H31" s="33">
        <v>500</v>
      </c>
      <c r="I31" s="32">
        <v>500</v>
      </c>
      <c r="J31" s="33">
        <v>500</v>
      </c>
      <c r="K31" s="34"/>
      <c r="L31" s="29" t="s">
        <v>55</v>
      </c>
    </row>
    <row x14ac:dyDescent="0.25" r="32" customHeight="1" ht="18.75">
      <c r="A32" s="30" t="s">
        <v>59</v>
      </c>
      <c r="B32" s="31" t="s">
        <v>30</v>
      </c>
      <c r="C32" s="32"/>
      <c r="D32" s="33">
        <v>100</v>
      </c>
      <c r="E32" s="32">
        <v>500</v>
      </c>
      <c r="F32" s="33">
        <v>500</v>
      </c>
      <c r="G32" s="32">
        <v>500</v>
      </c>
      <c r="H32" s="33">
        <v>500</v>
      </c>
      <c r="I32" s="32">
        <v>500</v>
      </c>
      <c r="J32" s="33">
        <v>500</v>
      </c>
      <c r="K32" s="34"/>
      <c r="L32" s="29" t="s">
        <v>42</v>
      </c>
    </row>
    <row x14ac:dyDescent="0.25" r="33" customHeight="1" ht="18.75">
      <c r="A33" s="30" t="s">
        <v>60</v>
      </c>
      <c r="B33" s="39" t="s">
        <v>30</v>
      </c>
      <c r="C33" s="40"/>
      <c r="D33" s="33"/>
      <c r="E33" s="40">
        <v>150</v>
      </c>
      <c r="F33" s="41">
        <v>300</v>
      </c>
      <c r="G33" s="42">
        <v>300</v>
      </c>
      <c r="H33" s="43">
        <v>300</v>
      </c>
      <c r="I33" s="40">
        <v>300</v>
      </c>
      <c r="J33" s="41">
        <v>300</v>
      </c>
      <c r="K33" s="34"/>
      <c r="L33" s="29" t="s">
        <v>42</v>
      </c>
    </row>
    <row x14ac:dyDescent="0.25" r="34" customHeight="1" ht="18.75">
      <c r="A34" s="30" t="s">
        <v>61</v>
      </c>
      <c r="B34" s="31" t="s">
        <v>30</v>
      </c>
      <c r="C34" s="32"/>
      <c r="D34" s="33">
        <v>100</v>
      </c>
      <c r="E34" s="32">
        <v>263</v>
      </c>
      <c r="F34" s="33">
        <v>263</v>
      </c>
      <c r="G34" s="44">
        <f>+F34</f>
      </c>
      <c r="H34" s="45">
        <f>+G34</f>
      </c>
      <c r="I34" s="32">
        <f>+H34</f>
      </c>
      <c r="J34" s="33">
        <f>+I34</f>
      </c>
      <c r="K34" s="34"/>
      <c r="L34" s="29" t="s">
        <v>42</v>
      </c>
    </row>
    <row x14ac:dyDescent="0.25" r="35" customHeight="1" ht="18.75">
      <c r="A35" s="35" t="s">
        <v>62</v>
      </c>
      <c r="B35" s="36" t="s">
        <v>30</v>
      </c>
      <c r="C35" s="32"/>
      <c r="D35" s="33">
        <v>200</v>
      </c>
      <c r="E35" s="32">
        <v>500</v>
      </c>
      <c r="F35" s="33">
        <v>500</v>
      </c>
      <c r="G35" s="44">
        <v>500</v>
      </c>
      <c r="H35" s="45">
        <f>+G35</f>
      </c>
      <c r="I35" s="32">
        <f>+H35</f>
      </c>
      <c r="J35" s="33">
        <f>+I35</f>
      </c>
      <c r="K35" s="46" t="s">
        <v>63</v>
      </c>
      <c r="L35" s="47" t="s">
        <v>64</v>
      </c>
    </row>
    <row x14ac:dyDescent="0.25" r="36" customHeight="1" ht="18.75">
      <c r="A36" s="35" t="s">
        <v>65</v>
      </c>
      <c r="B36" s="36" t="s">
        <v>30</v>
      </c>
      <c r="C36" s="37"/>
      <c r="D36" s="33">
        <v>200</v>
      </c>
      <c r="E36" s="37">
        <v>500</v>
      </c>
      <c r="F36" s="38">
        <v>500</v>
      </c>
      <c r="G36" s="48">
        <v>500</v>
      </c>
      <c r="H36" s="49">
        <v>500</v>
      </c>
      <c r="I36" s="37">
        <v>500</v>
      </c>
      <c r="J36" s="38">
        <v>500</v>
      </c>
      <c r="K36" s="50"/>
      <c r="L36" s="47" t="s">
        <v>64</v>
      </c>
    </row>
    <row x14ac:dyDescent="0.25" r="37" customHeight="1" ht="18.75">
      <c r="A37" s="35" t="s">
        <v>66</v>
      </c>
      <c r="B37" s="36" t="s">
        <v>30</v>
      </c>
      <c r="C37" s="37"/>
      <c r="D37" s="33"/>
      <c r="E37" s="37">
        <v>200</v>
      </c>
      <c r="F37" s="38">
        <v>200</v>
      </c>
      <c r="G37" s="48">
        <v>200</v>
      </c>
      <c r="H37" s="49">
        <v>200</v>
      </c>
      <c r="I37" s="37">
        <v>200</v>
      </c>
      <c r="J37" s="38">
        <v>200</v>
      </c>
      <c r="K37" s="50"/>
      <c r="L37" s="47" t="s">
        <v>64</v>
      </c>
    </row>
    <row x14ac:dyDescent="0.25" r="38" customHeight="1" ht="18.75">
      <c r="A38" s="35" t="s">
        <v>67</v>
      </c>
      <c r="B38" s="36" t="s">
        <v>30</v>
      </c>
      <c r="C38" s="37"/>
      <c r="D38" s="33">
        <v>100</v>
      </c>
      <c r="E38" s="37">
        <v>400</v>
      </c>
      <c r="F38" s="38">
        <v>400</v>
      </c>
      <c r="G38" s="48">
        <v>400</v>
      </c>
      <c r="H38" s="49">
        <v>400</v>
      </c>
      <c r="I38" s="37">
        <v>400</v>
      </c>
      <c r="J38" s="38">
        <v>400</v>
      </c>
      <c r="K38" s="50"/>
      <c r="L38" s="47" t="s">
        <v>64</v>
      </c>
    </row>
    <row x14ac:dyDescent="0.25" r="39" customHeight="1" ht="18.75">
      <c r="A39" s="35" t="s">
        <v>68</v>
      </c>
      <c r="B39" s="36" t="s">
        <v>30</v>
      </c>
      <c r="C39" s="37"/>
      <c r="D39" s="49">
        <v>100</v>
      </c>
      <c r="E39" s="37">
        <v>300</v>
      </c>
      <c r="F39" s="38">
        <v>300</v>
      </c>
      <c r="G39" s="48">
        <v>300</v>
      </c>
      <c r="H39" s="49">
        <v>300</v>
      </c>
      <c r="I39" s="37">
        <v>300</v>
      </c>
      <c r="J39" s="38">
        <v>300</v>
      </c>
      <c r="K39" s="50"/>
      <c r="L39" s="47" t="s">
        <v>64</v>
      </c>
    </row>
    <row x14ac:dyDescent="0.25" r="40" customHeight="1" ht="18.75">
      <c r="A40" s="35" t="s">
        <v>69</v>
      </c>
      <c r="B40" s="36" t="s">
        <v>30</v>
      </c>
      <c r="C40" s="37"/>
      <c r="D40" s="49"/>
      <c r="E40" s="37"/>
      <c r="F40" s="38"/>
      <c r="G40" s="48"/>
      <c r="H40" s="49">
        <v>900</v>
      </c>
      <c r="I40" s="37">
        <v>900</v>
      </c>
      <c r="J40" s="38">
        <v>900</v>
      </c>
      <c r="K40" s="50"/>
      <c r="L40" s="47" t="s">
        <v>64</v>
      </c>
    </row>
    <row x14ac:dyDescent="0.25" r="41" customHeight="1" ht="18.75">
      <c r="A41" s="35" t="s">
        <v>70</v>
      </c>
      <c r="B41" s="36" t="s">
        <v>30</v>
      </c>
      <c r="C41" s="37"/>
      <c r="D41" s="49"/>
      <c r="E41" s="37"/>
      <c r="F41" s="38"/>
      <c r="G41" s="48"/>
      <c r="H41" s="49">
        <v>100</v>
      </c>
      <c r="I41" s="37">
        <v>100</v>
      </c>
      <c r="J41" s="38">
        <v>100</v>
      </c>
      <c r="K41" s="51" t="s">
        <v>71</v>
      </c>
      <c r="L41" s="52" t="s">
        <v>72</v>
      </c>
    </row>
    <row x14ac:dyDescent="0.25" r="42" customHeight="1" ht="45">
      <c r="A42" s="53"/>
      <c r="B42" s="54"/>
      <c r="C42" s="55"/>
      <c r="D42" s="56"/>
      <c r="E42" s="55"/>
      <c r="F42" s="57"/>
      <c r="G42" s="58"/>
      <c r="H42" s="56"/>
      <c r="I42" s="55"/>
      <c r="J42" s="57"/>
      <c r="K42" s="59"/>
      <c r="L42" s="52"/>
    </row>
    <row x14ac:dyDescent="0.25" r="43" customHeight="1" ht="18.75" customFormat="1" s="60">
      <c r="A43" s="61" t="s">
        <v>73</v>
      </c>
      <c r="B43" s="62" t="s">
        <v>30</v>
      </c>
      <c r="C43" s="63">
        <v>200</v>
      </c>
      <c r="D43" s="64">
        <f>+C46</f>
      </c>
      <c r="E43" s="63">
        <f>+D46</f>
      </c>
      <c r="F43" s="64">
        <f>+E46</f>
      </c>
      <c r="G43" s="63">
        <f>+F46</f>
      </c>
      <c r="H43" s="64">
        <f>+G46</f>
      </c>
      <c r="I43" s="63">
        <f>+H46</f>
      </c>
      <c r="J43" s="64">
        <f>+I46</f>
      </c>
      <c r="K43" s="65"/>
      <c r="L43" s="65"/>
    </row>
    <row x14ac:dyDescent="0.25" r="44" customHeight="1" ht="18.75" customFormat="1" s="60">
      <c r="A44" s="30" t="s">
        <v>74</v>
      </c>
      <c r="B44" s="66" t="s">
        <v>30</v>
      </c>
      <c r="C44" s="67"/>
      <c r="D44" s="68">
        <v>600</v>
      </c>
      <c r="E44" s="67">
        <v>463</v>
      </c>
      <c r="F44" s="68">
        <v>315</v>
      </c>
      <c r="G44" s="67"/>
      <c r="H44" s="68"/>
      <c r="I44" s="67"/>
      <c r="J44" s="68"/>
      <c r="K44" s="65"/>
      <c r="L44" s="65"/>
    </row>
    <row x14ac:dyDescent="0.25" r="45" customHeight="1" ht="18.75" customFormat="1" s="60">
      <c r="A45" s="30" t="s">
        <v>75</v>
      </c>
      <c r="B45" s="66" t="s">
        <v>30</v>
      </c>
      <c r="C45" s="67">
        <f>+SUM(C16:C42)-C43</f>
      </c>
      <c r="D45" s="68">
        <f>+SUM(D16:D42)-D43</f>
      </c>
      <c r="E45" s="67">
        <f>+SUM(E16:E42)-E43</f>
      </c>
      <c r="F45" s="68">
        <f>+SUM(F16:F42)-F43</f>
      </c>
      <c r="G45" s="67">
        <f>+SUM(G16:G42)-G43</f>
      </c>
      <c r="H45" s="68">
        <f>+SUM(H16:H42)-H43</f>
      </c>
      <c r="I45" s="67">
        <f>+SUM(I16:I42)-I43</f>
      </c>
      <c r="J45" s="68">
        <f>+SUM(J16:J42)-J43</f>
      </c>
      <c r="K45" s="65"/>
      <c r="L45" s="65"/>
    </row>
    <row x14ac:dyDescent="0.25" r="46" customHeight="1" ht="18.75" customFormat="1" s="60">
      <c r="A46" s="53" t="s">
        <v>76</v>
      </c>
      <c r="B46" s="69" t="s">
        <v>30</v>
      </c>
      <c r="C46" s="70">
        <f>+SUM(C16:C42)</f>
      </c>
      <c r="D46" s="71">
        <f>+SUM(D16:D42)</f>
      </c>
      <c r="E46" s="70">
        <f>+SUM(E16:E42)</f>
      </c>
      <c r="F46" s="71">
        <f>+SUM(F16:F42)</f>
      </c>
      <c r="G46" s="70">
        <f>+SUM(G16:G42)</f>
      </c>
      <c r="H46" s="71">
        <f>+SUM(H16:H42)</f>
      </c>
      <c r="I46" s="70">
        <f>+SUM(I16:I42)</f>
      </c>
      <c r="J46" s="71">
        <f>+SUM(J16:J42)</f>
      </c>
      <c r="K46" s="65"/>
      <c r="L46" s="65"/>
    </row>
    <row x14ac:dyDescent="0.25" r="47" customHeight="1" ht="18.75" customFormat="1" s="60">
      <c r="A47" s="72" t="s">
        <v>77</v>
      </c>
      <c r="B47" s="73"/>
      <c r="C47" s="74"/>
      <c r="D47" s="74"/>
      <c r="E47" s="74"/>
      <c r="F47" s="74"/>
      <c r="G47" s="74"/>
      <c r="H47" s="74"/>
      <c r="I47" s="74"/>
      <c r="J47" s="74"/>
      <c r="K47" s="73"/>
      <c r="L47" s="73"/>
    </row>
    <row x14ac:dyDescent="0.25" r="48" customHeight="1" ht="18.75">
      <c r="A48" s="18"/>
      <c r="B48" s="19" t="s">
        <v>35</v>
      </c>
      <c r="C48" s="20">
        <v>2023</v>
      </c>
      <c r="D48" s="21">
        <v>2024</v>
      </c>
      <c r="E48" s="20">
        <v>2025</v>
      </c>
      <c r="F48" s="21">
        <v>2026</v>
      </c>
      <c r="G48" s="20">
        <v>2027</v>
      </c>
      <c r="H48" s="21">
        <v>2028</v>
      </c>
      <c r="I48" s="20">
        <v>2029</v>
      </c>
      <c r="J48" s="21">
        <v>2030</v>
      </c>
      <c r="K48" s="75" t="s">
        <v>78</v>
      </c>
      <c r="L48" s="76"/>
    </row>
    <row x14ac:dyDescent="0.25" r="49" customHeight="1" ht="18.75">
      <c r="A49" s="24" t="s">
        <v>79</v>
      </c>
      <c r="B49" s="25" t="s">
        <v>30</v>
      </c>
      <c r="C49" s="26">
        <v>100</v>
      </c>
      <c r="D49" s="27">
        <v>300</v>
      </c>
      <c r="E49" s="26">
        <v>500</v>
      </c>
      <c r="F49" s="27">
        <v>500</v>
      </c>
      <c r="G49" s="26">
        <v>500</v>
      </c>
      <c r="H49" s="27">
        <v>500</v>
      </c>
      <c r="I49" s="26">
        <v>500</v>
      </c>
      <c r="J49" s="27">
        <v>500</v>
      </c>
      <c r="K49" s="29" t="s">
        <v>42</v>
      </c>
      <c r="L49" s="28" t="s">
        <v>80</v>
      </c>
    </row>
    <row x14ac:dyDescent="0.25" r="50" customHeight="1" ht="18.75">
      <c r="A50" s="30" t="s">
        <v>81</v>
      </c>
      <c r="B50" s="31" t="s">
        <v>30</v>
      </c>
      <c r="C50" s="32"/>
      <c r="D50" s="33"/>
      <c r="E50" s="32">
        <v>100</v>
      </c>
      <c r="F50" s="33">
        <v>100</v>
      </c>
      <c r="G50" s="32">
        <v>100</v>
      </c>
      <c r="H50" s="33">
        <v>100</v>
      </c>
      <c r="I50" s="32">
        <v>100</v>
      </c>
      <c r="J50" s="33">
        <v>100</v>
      </c>
      <c r="K50" s="29" t="s">
        <v>42</v>
      </c>
      <c r="L50" s="34"/>
    </row>
    <row x14ac:dyDescent="0.25" r="51" customHeight="1" ht="18.75">
      <c r="A51" s="30" t="s">
        <v>82</v>
      </c>
      <c r="B51" s="31" t="s">
        <v>30</v>
      </c>
      <c r="C51" s="32"/>
      <c r="D51" s="33">
        <v>200</v>
      </c>
      <c r="E51" s="32">
        <v>500</v>
      </c>
      <c r="F51" s="33">
        <v>500</v>
      </c>
      <c r="G51" s="32">
        <v>500</v>
      </c>
      <c r="H51" s="33">
        <v>500</v>
      </c>
      <c r="I51" s="32">
        <v>500</v>
      </c>
      <c r="J51" s="33">
        <v>500</v>
      </c>
      <c r="K51" s="29" t="s">
        <v>42</v>
      </c>
      <c r="L51" s="34"/>
    </row>
    <row x14ac:dyDescent="0.25" r="52" customHeight="1" ht="18.75">
      <c r="A52" s="30" t="s">
        <v>83</v>
      </c>
      <c r="B52" s="31" t="s">
        <v>30</v>
      </c>
      <c r="C52" s="32"/>
      <c r="D52" s="33"/>
      <c r="E52" s="32"/>
      <c r="F52" s="33">
        <v>100</v>
      </c>
      <c r="G52" s="32">
        <v>300</v>
      </c>
      <c r="H52" s="33">
        <v>300</v>
      </c>
      <c r="I52" s="32">
        <v>300</v>
      </c>
      <c r="J52" s="33">
        <v>300</v>
      </c>
      <c r="K52" s="29" t="s">
        <v>42</v>
      </c>
      <c r="L52" s="34"/>
    </row>
    <row x14ac:dyDescent="0.25" r="53" customHeight="1" ht="18.75">
      <c r="A53" s="30" t="s">
        <v>84</v>
      </c>
      <c r="B53" s="31" t="s">
        <v>30</v>
      </c>
      <c r="C53" s="32"/>
      <c r="D53" s="33"/>
      <c r="E53" s="32">
        <v>100</v>
      </c>
      <c r="F53" s="33">
        <v>100</v>
      </c>
      <c r="G53" s="32">
        <v>100</v>
      </c>
      <c r="H53" s="33">
        <v>100</v>
      </c>
      <c r="I53" s="32">
        <v>100</v>
      </c>
      <c r="J53" s="33">
        <v>100</v>
      </c>
      <c r="K53" s="29" t="s">
        <v>42</v>
      </c>
      <c r="L53" s="34"/>
    </row>
    <row x14ac:dyDescent="0.25" r="54" customHeight="1" ht="18.75">
      <c r="A54" s="30" t="s">
        <v>85</v>
      </c>
      <c r="B54" s="31" t="s">
        <v>30</v>
      </c>
      <c r="C54" s="32"/>
      <c r="D54" s="33">
        <v>200</v>
      </c>
      <c r="E54" s="32">
        <v>500</v>
      </c>
      <c r="F54" s="33">
        <v>500</v>
      </c>
      <c r="G54" s="32">
        <v>500</v>
      </c>
      <c r="H54" s="33">
        <v>500</v>
      </c>
      <c r="I54" s="32">
        <v>500</v>
      </c>
      <c r="J54" s="33">
        <v>500</v>
      </c>
      <c r="K54" s="29" t="s">
        <v>42</v>
      </c>
      <c r="L54" s="34"/>
    </row>
    <row x14ac:dyDescent="0.25" r="55" customHeight="1" ht="18.75">
      <c r="A55" s="30" t="s">
        <v>86</v>
      </c>
      <c r="B55" s="31" t="s">
        <v>30</v>
      </c>
      <c r="C55" s="32"/>
      <c r="D55" s="33"/>
      <c r="E55" s="32"/>
      <c r="F55" s="33"/>
      <c r="G55" s="32">
        <v>250</v>
      </c>
      <c r="H55" s="33">
        <v>500</v>
      </c>
      <c r="I55" s="32">
        <v>500</v>
      </c>
      <c r="J55" s="33">
        <v>500</v>
      </c>
      <c r="K55" s="29" t="s">
        <v>42</v>
      </c>
      <c r="L55" s="34"/>
    </row>
    <row x14ac:dyDescent="0.25" r="56" customHeight="1" ht="18.75">
      <c r="A56" s="30" t="s">
        <v>87</v>
      </c>
      <c r="B56" s="31" t="s">
        <v>30</v>
      </c>
      <c r="C56" s="32"/>
      <c r="D56" s="33"/>
      <c r="E56" s="32"/>
      <c r="F56" s="33"/>
      <c r="G56" s="32">
        <v>250</v>
      </c>
      <c r="H56" s="33">
        <v>500</v>
      </c>
      <c r="I56" s="32">
        <v>500</v>
      </c>
      <c r="J56" s="33">
        <v>500</v>
      </c>
      <c r="K56" s="29" t="s">
        <v>42</v>
      </c>
      <c r="L56" s="34"/>
    </row>
    <row x14ac:dyDescent="0.25" r="57" customHeight="1" ht="18.75">
      <c r="A57" s="30" t="s">
        <v>88</v>
      </c>
      <c r="B57" s="31" t="s">
        <v>30</v>
      </c>
      <c r="C57" s="32"/>
      <c r="D57" s="33"/>
      <c r="E57" s="32"/>
      <c r="F57" s="33"/>
      <c r="G57" s="32">
        <v>250</v>
      </c>
      <c r="H57" s="33">
        <v>500</v>
      </c>
      <c r="I57" s="32">
        <v>500</v>
      </c>
      <c r="J57" s="33">
        <v>500</v>
      </c>
      <c r="K57" s="29" t="s">
        <v>42</v>
      </c>
      <c r="L57" s="34"/>
    </row>
    <row x14ac:dyDescent="0.25" r="58" customHeight="1" ht="18.75">
      <c r="A58" s="30" t="s">
        <v>89</v>
      </c>
      <c r="B58" s="31" t="s">
        <v>30</v>
      </c>
      <c r="C58" s="32"/>
      <c r="D58" s="33"/>
      <c r="E58" s="32"/>
      <c r="F58" s="33"/>
      <c r="G58" s="32"/>
      <c r="H58" s="33">
        <v>300</v>
      </c>
      <c r="I58" s="32">
        <v>500</v>
      </c>
      <c r="J58" s="33">
        <v>500</v>
      </c>
      <c r="K58" s="29" t="s">
        <v>42</v>
      </c>
      <c r="L58" s="34"/>
    </row>
    <row x14ac:dyDescent="0.25" r="59" customHeight="1" ht="18.75">
      <c r="A59" s="30" t="s">
        <v>90</v>
      </c>
      <c r="B59" s="31" t="s">
        <v>30</v>
      </c>
      <c r="C59" s="32"/>
      <c r="D59" s="33"/>
      <c r="E59" s="32"/>
      <c r="F59" s="33">
        <v>100</v>
      </c>
      <c r="G59" s="32">
        <v>400</v>
      </c>
      <c r="H59" s="33">
        <v>600</v>
      </c>
      <c r="I59" s="32">
        <v>600</v>
      </c>
      <c r="J59" s="33">
        <v>600</v>
      </c>
      <c r="K59" s="29" t="s">
        <v>42</v>
      </c>
      <c r="L59" s="34"/>
    </row>
    <row x14ac:dyDescent="0.25" r="60" customHeight="1" ht="18.75">
      <c r="A60" s="30" t="s">
        <v>91</v>
      </c>
      <c r="B60" s="31" t="s">
        <v>30</v>
      </c>
      <c r="C60" s="32"/>
      <c r="D60" s="33"/>
      <c r="E60" s="32"/>
      <c r="F60" s="33">
        <v>100</v>
      </c>
      <c r="G60" s="32">
        <v>300</v>
      </c>
      <c r="H60" s="33">
        <v>500</v>
      </c>
      <c r="I60" s="32">
        <v>500</v>
      </c>
      <c r="J60" s="33">
        <v>500</v>
      </c>
      <c r="K60" s="29" t="s">
        <v>42</v>
      </c>
      <c r="L60" s="34"/>
    </row>
    <row x14ac:dyDescent="0.25" r="61" customHeight="1" ht="18.75">
      <c r="A61" s="30" t="s">
        <v>92</v>
      </c>
      <c r="B61" s="31" t="s">
        <v>30</v>
      </c>
      <c r="C61" s="32"/>
      <c r="D61" s="33"/>
      <c r="E61" s="32"/>
      <c r="F61" s="33">
        <v>200</v>
      </c>
      <c r="G61" s="32">
        <v>200</v>
      </c>
      <c r="H61" s="33">
        <v>200</v>
      </c>
      <c r="I61" s="32">
        <v>200</v>
      </c>
      <c r="J61" s="33">
        <v>200</v>
      </c>
      <c r="K61" s="29" t="s">
        <v>42</v>
      </c>
      <c r="L61" s="34"/>
    </row>
    <row x14ac:dyDescent="0.25" r="62" customHeight="1" ht="18.75">
      <c r="A62" s="30" t="s">
        <v>93</v>
      </c>
      <c r="B62" s="31" t="s">
        <v>30</v>
      </c>
      <c r="C62" s="32"/>
      <c r="D62" s="33"/>
      <c r="E62" s="32"/>
      <c r="F62" s="33">
        <v>300</v>
      </c>
      <c r="G62" s="32">
        <v>300</v>
      </c>
      <c r="H62" s="33">
        <v>300</v>
      </c>
      <c r="I62" s="32">
        <v>300</v>
      </c>
      <c r="J62" s="33">
        <v>300</v>
      </c>
      <c r="K62" s="29" t="s">
        <v>42</v>
      </c>
      <c r="L62" s="34"/>
    </row>
    <row x14ac:dyDescent="0.25" r="63" customHeight="1" ht="18.75">
      <c r="A63" s="35" t="s">
        <v>94</v>
      </c>
      <c r="B63" s="36" t="s">
        <v>30</v>
      </c>
      <c r="C63" s="37"/>
      <c r="D63" s="33"/>
      <c r="E63" s="37"/>
      <c r="F63" s="38"/>
      <c r="G63" s="37"/>
      <c r="H63" s="38">
        <v>200</v>
      </c>
      <c r="I63" s="37">
        <v>700</v>
      </c>
      <c r="J63" s="38">
        <v>1000</v>
      </c>
      <c r="K63" s="47" t="s">
        <v>64</v>
      </c>
      <c r="L63" s="46" t="s">
        <v>95</v>
      </c>
    </row>
    <row x14ac:dyDescent="0.25" r="64" customHeight="1" ht="18.75">
      <c r="A64" s="35" t="s">
        <v>96</v>
      </c>
      <c r="B64" s="39" t="s">
        <v>30</v>
      </c>
      <c r="C64" s="32"/>
      <c r="D64" s="33"/>
      <c r="E64" s="32"/>
      <c r="F64" s="33"/>
      <c r="G64" s="32"/>
      <c r="H64" s="33">
        <v>200</v>
      </c>
      <c r="I64" s="32">
        <v>700</v>
      </c>
      <c r="J64" s="33">
        <v>1000</v>
      </c>
      <c r="K64" s="47" t="s">
        <v>64</v>
      </c>
      <c r="L64" s="50"/>
    </row>
    <row x14ac:dyDescent="0.25" r="65" customHeight="1" ht="18.75">
      <c r="A65" s="30" t="s">
        <v>97</v>
      </c>
      <c r="B65" s="39" t="s">
        <v>30</v>
      </c>
      <c r="C65" s="40"/>
      <c r="D65" s="33"/>
      <c r="E65" s="40"/>
      <c r="F65" s="41"/>
      <c r="G65" s="42"/>
      <c r="H65" s="43">
        <v>100</v>
      </c>
      <c r="I65" s="40">
        <v>500</v>
      </c>
      <c r="J65" s="41">
        <v>500</v>
      </c>
      <c r="K65" s="47" t="s">
        <v>64</v>
      </c>
      <c r="L65" s="50"/>
    </row>
    <row x14ac:dyDescent="0.25" r="66" customHeight="1" ht="18.75">
      <c r="A66" s="30" t="s">
        <v>98</v>
      </c>
      <c r="B66" s="31" t="s">
        <v>30</v>
      </c>
      <c r="C66" s="32"/>
      <c r="D66" s="33"/>
      <c r="E66" s="32"/>
      <c r="F66" s="33"/>
      <c r="G66" s="44"/>
      <c r="H66" s="45">
        <v>100</v>
      </c>
      <c r="I66" s="32">
        <v>500</v>
      </c>
      <c r="J66" s="33">
        <v>500</v>
      </c>
      <c r="K66" s="47" t="s">
        <v>64</v>
      </c>
      <c r="L66" s="50"/>
    </row>
    <row x14ac:dyDescent="0.25" r="67" customHeight="1" ht="18.75">
      <c r="A67" s="30" t="s">
        <v>99</v>
      </c>
      <c r="B67" s="36" t="s">
        <v>30</v>
      </c>
      <c r="C67" s="32"/>
      <c r="D67" s="33"/>
      <c r="E67" s="32"/>
      <c r="F67" s="33"/>
      <c r="G67" s="44"/>
      <c r="H67" s="45">
        <v>100</v>
      </c>
      <c r="I67" s="32">
        <v>500</v>
      </c>
      <c r="J67" s="33">
        <v>500</v>
      </c>
      <c r="K67" s="47" t="s">
        <v>64</v>
      </c>
      <c r="L67" s="50"/>
    </row>
    <row x14ac:dyDescent="0.25" r="68" customHeight="1" ht="18.75">
      <c r="A68" s="30" t="s">
        <v>100</v>
      </c>
      <c r="B68" s="36" t="s">
        <v>30</v>
      </c>
      <c r="C68" s="37"/>
      <c r="D68" s="33"/>
      <c r="E68" s="37"/>
      <c r="F68" s="38"/>
      <c r="G68" s="48"/>
      <c r="H68" s="49">
        <v>100</v>
      </c>
      <c r="I68" s="37">
        <v>500</v>
      </c>
      <c r="J68" s="38">
        <v>500</v>
      </c>
      <c r="K68" s="47" t="s">
        <v>64</v>
      </c>
      <c r="L68" s="50"/>
    </row>
    <row x14ac:dyDescent="0.25" r="69" customHeight="1" ht="18.75">
      <c r="A69" s="30" t="s">
        <v>101</v>
      </c>
      <c r="B69" s="36" t="s">
        <v>30</v>
      </c>
      <c r="C69" s="37"/>
      <c r="D69" s="33"/>
      <c r="E69" s="37"/>
      <c r="F69" s="38"/>
      <c r="G69" s="48"/>
      <c r="H69" s="49">
        <v>100</v>
      </c>
      <c r="I69" s="37">
        <v>500</v>
      </c>
      <c r="J69" s="38">
        <v>500</v>
      </c>
      <c r="K69" s="47" t="s">
        <v>64</v>
      </c>
      <c r="L69" s="50"/>
    </row>
    <row x14ac:dyDescent="0.25" r="70" customHeight="1" ht="18.75">
      <c r="A70" s="30" t="s">
        <v>102</v>
      </c>
      <c r="B70" s="36" t="s">
        <v>30</v>
      </c>
      <c r="C70" s="37"/>
      <c r="D70" s="33"/>
      <c r="E70" s="37"/>
      <c r="F70" s="38"/>
      <c r="G70" s="48"/>
      <c r="H70" s="49"/>
      <c r="I70" s="37">
        <v>100</v>
      </c>
      <c r="J70" s="38">
        <v>500</v>
      </c>
      <c r="K70" s="47" t="s">
        <v>64</v>
      </c>
      <c r="L70" s="50"/>
    </row>
    <row x14ac:dyDescent="0.25" r="71" customHeight="1" ht="18.75">
      <c r="A71" s="35" t="s">
        <v>70</v>
      </c>
      <c r="B71" s="36" t="s">
        <v>30</v>
      </c>
      <c r="C71" s="37"/>
      <c r="D71" s="49"/>
      <c r="E71" s="37"/>
      <c r="F71" s="38"/>
      <c r="G71" s="48"/>
      <c r="H71" s="49"/>
      <c r="I71" s="37">
        <v>150</v>
      </c>
      <c r="J71" s="38">
        <v>300</v>
      </c>
      <c r="K71" s="52" t="s">
        <v>72</v>
      </c>
      <c r="L71" s="77" t="s">
        <v>103</v>
      </c>
    </row>
    <row x14ac:dyDescent="0.25" r="72" customHeight="1" ht="18.75">
      <c r="A72" s="30" t="s">
        <v>104</v>
      </c>
      <c r="B72" s="36" t="s">
        <v>30</v>
      </c>
      <c r="C72" s="37"/>
      <c r="D72" s="49"/>
      <c r="E72" s="37"/>
      <c r="F72" s="38"/>
      <c r="G72" s="48"/>
      <c r="H72" s="49"/>
      <c r="I72" s="37">
        <v>500</v>
      </c>
      <c r="J72" s="38">
        <v>1000</v>
      </c>
      <c r="K72" s="52" t="s">
        <v>72</v>
      </c>
      <c r="L72" s="78"/>
    </row>
    <row x14ac:dyDescent="0.25" r="73" customHeight="1" ht="18.75">
      <c r="A73" s="30" t="s">
        <v>105</v>
      </c>
      <c r="B73" s="36" t="s">
        <v>30</v>
      </c>
      <c r="C73" s="32"/>
      <c r="D73" s="45"/>
      <c r="E73" s="32"/>
      <c r="F73" s="33"/>
      <c r="G73" s="44"/>
      <c r="H73" s="45"/>
      <c r="I73" s="32">
        <v>1000</v>
      </c>
      <c r="J73" s="33">
        <v>2000</v>
      </c>
      <c r="K73" s="52" t="s">
        <v>72</v>
      </c>
      <c r="L73" s="78"/>
    </row>
    <row x14ac:dyDescent="0.25" r="74" customHeight="1" ht="18.75">
      <c r="A74" s="30" t="s">
        <v>106</v>
      </c>
      <c r="B74" s="36" t="s">
        <v>30</v>
      </c>
      <c r="C74" s="37"/>
      <c r="D74" s="49"/>
      <c r="E74" s="37"/>
      <c r="F74" s="38"/>
      <c r="G74" s="48"/>
      <c r="H74" s="49"/>
      <c r="I74" s="37">
        <v>1000</v>
      </c>
      <c r="J74" s="38">
        <v>2000</v>
      </c>
      <c r="K74" s="52" t="s">
        <v>72</v>
      </c>
      <c r="L74" s="78"/>
    </row>
    <row x14ac:dyDescent="0.25" r="75" customHeight="1" ht="18.75">
      <c r="A75" s="53" t="s">
        <v>107</v>
      </c>
      <c r="B75" s="54" t="s">
        <v>30</v>
      </c>
      <c r="C75" s="55"/>
      <c r="D75" s="56"/>
      <c r="E75" s="55"/>
      <c r="F75" s="57"/>
      <c r="G75" s="58"/>
      <c r="H75" s="56"/>
      <c r="I75" s="55">
        <v>2500</v>
      </c>
      <c r="J75" s="57">
        <v>5000</v>
      </c>
      <c r="K75" s="52" t="s">
        <v>72</v>
      </c>
      <c r="L75" s="78"/>
    </row>
    <row x14ac:dyDescent="0.25" r="76" customHeight="1" ht="18.75">
      <c r="A76" s="61" t="s">
        <v>73</v>
      </c>
      <c r="B76" s="62" t="s">
        <v>30</v>
      </c>
      <c r="C76" s="63">
        <v>0</v>
      </c>
      <c r="D76" s="64">
        <f>+C79</f>
      </c>
      <c r="E76" s="63">
        <f>+D79</f>
      </c>
      <c r="F76" s="64">
        <f>+E79</f>
      </c>
      <c r="G76" s="63">
        <f>+F79</f>
      </c>
      <c r="H76" s="64">
        <f>+G79</f>
      </c>
      <c r="I76" s="63">
        <f>+H79</f>
      </c>
      <c r="J76" s="64">
        <f>+I79</f>
      </c>
      <c r="K76" s="79"/>
      <c r="L76" s="1"/>
    </row>
    <row x14ac:dyDescent="0.25" r="77" customHeight="1" ht="18.75">
      <c r="A77" s="30" t="s">
        <v>74</v>
      </c>
      <c r="B77" s="66" t="s">
        <v>30</v>
      </c>
      <c r="C77" s="67"/>
      <c r="D77" s="68">
        <v>50</v>
      </c>
      <c r="E77" s="67">
        <v>200</v>
      </c>
      <c r="F77" s="68">
        <v>300</v>
      </c>
      <c r="G77" s="67">
        <v>500</v>
      </c>
      <c r="H77" s="68">
        <v>1500</v>
      </c>
      <c r="I77" s="67">
        <v>3700</v>
      </c>
      <c r="J77" s="68">
        <v>3250</v>
      </c>
      <c r="K77" s="79"/>
      <c r="L77" s="1"/>
    </row>
    <row x14ac:dyDescent="0.25" r="78" customHeight="1" ht="18.75">
      <c r="A78" s="30" t="s">
        <v>75</v>
      </c>
      <c r="B78" s="66" t="s">
        <v>30</v>
      </c>
      <c r="C78" s="67">
        <f>+SUM(C49:C72)-C76</f>
      </c>
      <c r="D78" s="68">
        <f>+SUM(D49:D75)-D76-D77</f>
      </c>
      <c r="E78" s="67">
        <f>+SUM(E49:E75)-E76-E77</f>
      </c>
      <c r="F78" s="68">
        <f>+SUM(F49:F75)-F76-F77</f>
      </c>
      <c r="G78" s="67">
        <f>+SUM(G49:G75)-G76-G77</f>
      </c>
      <c r="H78" s="68">
        <f>+SUM(H49:H75)-H76-H77</f>
      </c>
      <c r="I78" s="67">
        <f>+SUM(I49:I75)-I76-I77</f>
      </c>
      <c r="J78" s="68">
        <f>+SUM(J49:J75)-J76-J77</f>
      </c>
      <c r="K78" s="79"/>
      <c r="L78" s="1"/>
    </row>
    <row x14ac:dyDescent="0.25" r="79" customHeight="1" ht="18.75">
      <c r="A79" s="53" t="s">
        <v>76</v>
      </c>
      <c r="B79" s="69" t="s">
        <v>30</v>
      </c>
      <c r="C79" s="70">
        <f>+SUM(C49:C75)</f>
      </c>
      <c r="D79" s="71">
        <f>+SUM(D49:D75)</f>
      </c>
      <c r="E79" s="70">
        <f>+SUM(E49:E75)</f>
      </c>
      <c r="F79" s="71">
        <f>+SUM(F49:F75)</f>
      </c>
      <c r="G79" s="70">
        <f>+SUM(G49:G75)</f>
      </c>
      <c r="H79" s="71">
        <f>+SUM(H49:H75)</f>
      </c>
      <c r="I79" s="70">
        <f>+SUM(I49:I75)</f>
      </c>
      <c r="J79" s="71">
        <f>+SUM(J49:J75)</f>
      </c>
      <c r="K79" s="79"/>
      <c r="L79" s="1"/>
    </row>
  </sheetData>
  <mergeCells count="15">
    <mergeCell ref="A1:B1"/>
    <mergeCell ref="K1:L14"/>
    <mergeCell ref="A2:J2"/>
    <mergeCell ref="A5:J5"/>
    <mergeCell ref="A9:J9"/>
    <mergeCell ref="A14:J14"/>
    <mergeCell ref="K15:L15"/>
    <mergeCell ref="K16:K34"/>
    <mergeCell ref="K35:K40"/>
    <mergeCell ref="K41:K42"/>
    <mergeCell ref="A47:L47"/>
    <mergeCell ref="K48:L48"/>
    <mergeCell ref="L49:L62"/>
    <mergeCell ref="L63:L70"/>
    <mergeCell ref="L71:L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5" width="13.576428571428572" customWidth="1" bestFit="1"/>
    <col min="2" max="2" style="5" width="14.290714285714287" customWidth="1" bestFit="1"/>
    <col min="3" max="3" style="5" width="19.862142857142857" customWidth="1" bestFit="1"/>
    <col min="4" max="4" style="6" width="13.576428571428572" customWidth="1" bestFit="1"/>
    <col min="5" max="5" style="5" width="13.576428571428572" customWidth="1" bestFit="1"/>
    <col min="6" max="6" style="5" width="12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3" t="s">
        <v>9</v>
      </c>
      <c r="E2" s="4" t="s">
        <v>10</v>
      </c>
      <c r="F2" s="4" t="s">
        <v>11</v>
      </c>
    </row>
    <row x14ac:dyDescent="0.25" r="3" customHeight="1" ht="18.75">
      <c r="A3" s="1" t="s">
        <v>6</v>
      </c>
      <c r="B3" s="1" t="s">
        <v>12</v>
      </c>
      <c r="C3" s="1" t="s">
        <v>8</v>
      </c>
      <c r="D3" s="3" t="s">
        <v>13</v>
      </c>
      <c r="E3" s="4" t="s">
        <v>14</v>
      </c>
      <c r="F3" s="4" t="s">
        <v>15</v>
      </c>
    </row>
    <row x14ac:dyDescent="0.25" r="4" customHeight="1" ht="18.75">
      <c r="A4" s="1" t="s">
        <v>16</v>
      </c>
      <c r="B4" s="1" t="s">
        <v>17</v>
      </c>
      <c r="C4" s="1" t="s">
        <v>18</v>
      </c>
      <c r="D4" s="3" t="s">
        <v>19</v>
      </c>
      <c r="E4" s="4" t="s">
        <v>20</v>
      </c>
      <c r="F4" s="4" t="s">
        <v>21</v>
      </c>
    </row>
    <row x14ac:dyDescent="0.25" r="5" customHeight="1" ht="18.75">
      <c r="A5" s="1" t="s">
        <v>16</v>
      </c>
      <c r="B5" s="1" t="s">
        <v>22</v>
      </c>
      <c r="C5" s="1" t="s">
        <v>23</v>
      </c>
      <c r="D5" s="3" t="s">
        <v>24</v>
      </c>
      <c r="E5" s="4" t="s">
        <v>25</v>
      </c>
      <c r="F5" s="4" t="s">
        <v>26</v>
      </c>
    </row>
    <row x14ac:dyDescent="0.25" r="6" customHeight="1" ht="18.75">
      <c r="A6" s="1"/>
      <c r="B6" s="1"/>
      <c r="C6" s="1"/>
      <c r="D6" s="3"/>
      <c r="E6" s="4"/>
      <c r="F6" s="4"/>
    </row>
    <row x14ac:dyDescent="0.25" r="7" customHeight="1" ht="18.75">
      <c r="A7" s="1"/>
      <c r="B7" s="1"/>
      <c r="C7" s="1"/>
      <c r="D7" s="3"/>
      <c r="E7" s="4"/>
      <c r="F7" s="4"/>
    </row>
    <row x14ac:dyDescent="0.25" r="8" customHeight="1" ht="18.75">
      <c r="A8" s="1"/>
      <c r="B8" s="1"/>
      <c r="C8" s="1"/>
      <c r="D8" s="3"/>
      <c r="E8" s="4"/>
      <c r="F8" s="4"/>
    </row>
    <row x14ac:dyDescent="0.25" r="9" customHeight="1" ht="18.75">
      <c r="A9" s="1"/>
      <c r="B9" s="1"/>
      <c r="C9" s="1"/>
      <c r="D9" s="3"/>
      <c r="E9" s="4"/>
      <c r="F9" s="4"/>
    </row>
    <row x14ac:dyDescent="0.25" r="10" customHeight="1" ht="18.75">
      <c r="A10" s="1"/>
      <c r="B10" s="1"/>
      <c r="C10" s="1"/>
      <c r="D10" s="3"/>
      <c r="E10" s="4"/>
      <c r="F10" s="4"/>
    </row>
    <row x14ac:dyDescent="0.25" r="11" customHeight="1" ht="18.75">
      <c r="A11" s="1"/>
      <c r="B11" s="1"/>
      <c r="C11" s="1"/>
      <c r="D11" s="3"/>
      <c r="E11" s="1"/>
      <c r="F11" s="4"/>
    </row>
    <row x14ac:dyDescent="0.25" r="12" customHeight="1" ht="18.75">
      <c r="A12" s="1"/>
      <c r="B12" s="1"/>
      <c r="C12" s="1"/>
      <c r="D12" s="3"/>
      <c r="E12" s="1"/>
      <c r="F12" s="1"/>
    </row>
    <row x14ac:dyDescent="0.25" r="13" customHeight="1" ht="18.75">
      <c r="A13" s="1"/>
      <c r="B13" s="1"/>
      <c r="C13" s="1"/>
      <c r="D13" s="3"/>
      <c r="E13" s="1"/>
      <c r="F13" s="1"/>
    </row>
    <row x14ac:dyDescent="0.25" r="14" customHeight="1" ht="18.75">
      <c r="A14" s="1"/>
      <c r="B14" s="1"/>
      <c r="C14" s="1"/>
      <c r="D14" s="3"/>
      <c r="E14" s="1"/>
      <c r="F14" s="1"/>
    </row>
    <row x14ac:dyDescent="0.25" r="15" customHeight="1" ht="18.75">
      <c r="A15" s="1"/>
      <c r="B15" s="1"/>
      <c r="C15" s="1"/>
      <c r="D15" s="3"/>
      <c r="E15" s="1"/>
      <c r="F1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Current capacities</vt:lpstr>
      <vt:lpstr>Sheet2</vt:lpstr>
      <vt:lpstr>RES</vt:lpstr>
      <vt:lpstr>Hydroaccumulation (HAS)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2025-03-04T12:29:39.486Z</dcterms:created>
  <dcterms:modified xsi:type="dcterms:W3CDTF">2025-03-04T12:29:39.486Z</dcterms:modified>
</cp:coreProperties>
</file>