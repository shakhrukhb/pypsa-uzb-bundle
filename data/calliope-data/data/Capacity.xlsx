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user\Desktop\envoronmental_energy\Data\"/>
    </mc:Choice>
  </mc:AlternateContent>
  <xr:revisionPtr revIDLastSave="0" documentId="13_ncr:1_{9E32E3ED-3C64-4C4C-8ED4-BC30888C93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PPs and CHPPs" sheetId="1" r:id="rId1"/>
    <sheet name="Efficiencies" sheetId="2" r:id="rId2"/>
    <sheet name="Hydropower plants" sheetId="3" r:id="rId3"/>
    <sheet name="Wind Turbine" sheetId="4" r:id="rId4"/>
    <sheet name="Power Plant" sheetId="5" r:id="rId5"/>
  </sheets>
  <definedNames>
    <definedName name="_xlnm._FilterDatabase" localSheetId="2">'Hydropower plants'!$A$1:$B$91</definedName>
    <definedName name="_xlnm._FilterDatabase" localSheetId="0">'TPPs and CHPPs'!$A$1:$D$1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E5" i="2"/>
  <c r="F5" i="1"/>
  <c r="L2" i="5"/>
  <c r="E2" i="2"/>
  <c r="F2" i="2"/>
  <c r="G2" i="4"/>
  <c r="C2" i="3"/>
  <c r="D11" i="2"/>
  <c r="D10" i="2"/>
  <c r="D9" i="2"/>
  <c r="D8" i="2"/>
  <c r="D7" i="2"/>
  <c r="D6" i="2"/>
  <c r="D5" i="2"/>
  <c r="D4" i="2"/>
  <c r="D3" i="2"/>
  <c r="D2" i="2"/>
  <c r="F2" i="1"/>
</calcChain>
</file>

<file path=xl/sharedStrings.xml><?xml version="1.0" encoding="utf-8"?>
<sst xmlns="http://schemas.openxmlformats.org/spreadsheetml/2006/main" count="473" uniqueCount="204">
  <si>
    <t>Cascade/Plant</t>
  </si>
  <si>
    <t>Installed Capacity (MW)</t>
  </si>
  <si>
    <t>Total installed capacity</t>
  </si>
  <si>
    <t>Charvak</t>
  </si>
  <si>
    <t>Chodjiket</t>
  </si>
  <si>
    <t>Tuyamuyun</t>
  </si>
  <si>
    <t>Andidjan</t>
  </si>
  <si>
    <t>Unit 1-4</t>
  </si>
  <si>
    <t>Gasalkent</t>
  </si>
  <si>
    <t>Chirchik</t>
  </si>
  <si>
    <t>Tawak</t>
  </si>
  <si>
    <t>Akkawak 1</t>
  </si>
  <si>
    <t>Tupolang</t>
  </si>
  <si>
    <t>Chishrauz</t>
  </si>
  <si>
    <t>Achangaran</t>
  </si>
  <si>
    <t>Bozsui 17</t>
  </si>
  <si>
    <t>Aktepin</t>
  </si>
  <si>
    <t>Kadyrin</t>
  </si>
  <si>
    <t>Shachrichan 5A</t>
  </si>
  <si>
    <t>Kubrai</t>
  </si>
  <si>
    <t>Salar</t>
  </si>
  <si>
    <t>Bozsui 16</t>
  </si>
  <si>
    <t>Bozsui 14</t>
  </si>
  <si>
    <t>Akkawak 2</t>
  </si>
  <si>
    <t>Taligulyan 3</t>
  </si>
  <si>
    <t>Shachrichan 6A</t>
  </si>
  <si>
    <t>Bozsui 15</t>
  </si>
  <si>
    <t>UFK 2</t>
  </si>
  <si>
    <t>Burddjar</t>
  </si>
  <si>
    <t>Irtysh</t>
  </si>
  <si>
    <t>Bozsui 18</t>
  </si>
  <si>
    <t>Bozsui</t>
  </si>
  <si>
    <t>Shekhantau</t>
  </si>
  <si>
    <t>Taligulyan 1</t>
  </si>
  <si>
    <t>UFK 1</t>
  </si>
  <si>
    <t>Urgut</t>
  </si>
  <si>
    <t>Plant</t>
  </si>
  <si>
    <t>Available Capacity (MW)</t>
  </si>
  <si>
    <t>Reported Efficiency</t>
  </si>
  <si>
    <t>Weighted efficiency</t>
  </si>
  <si>
    <t>Weighted average efficiency</t>
  </si>
  <si>
    <t>Efficiency of modern CCGTs</t>
  </si>
  <si>
    <t>Talimarjan TPP</t>
  </si>
  <si>
    <t>53%-56%</t>
  </si>
  <si>
    <t>Sirdarya TPP</t>
  </si>
  <si>
    <t>Novo-Angren TPP</t>
  </si>
  <si>
    <t>Tashkent TPP</t>
  </si>
  <si>
    <t>Navoi TPP</t>
  </si>
  <si>
    <t>Tachiattash TPP</t>
  </si>
  <si>
    <t>Angren TPP</t>
  </si>
  <si>
    <t>Fergana CHPP</t>
  </si>
  <si>
    <t>Mubarek CHPP</t>
  </si>
  <si>
    <t>Taschkent CHPP</t>
  </si>
  <si>
    <t>Other TPPs</t>
  </si>
  <si>
    <t>Not reported</t>
  </si>
  <si>
    <t>Plant/Unit</t>
  </si>
  <si>
    <t>Fuel</t>
  </si>
  <si>
    <t>Estimated Remaining Service Life (yrs)</t>
  </si>
  <si>
    <t>Total Installed Capacity</t>
  </si>
  <si>
    <t>Talimardjan TPP Unit 1</t>
  </si>
  <si>
    <t>Gas</t>
  </si>
  <si>
    <t>Novo-Angren TPP Unit 1</t>
  </si>
  <si>
    <t>Gas/Coal</t>
  </si>
  <si>
    <t>Novo-Angren TPP Unit 2</t>
  </si>
  <si>
    <t>Novo-Angren TPP Unit 3</t>
  </si>
  <si>
    <t>Novo-Angren TPP Unit 4</t>
  </si>
  <si>
    <t>Novo-Angren TPP Unit 5</t>
  </si>
  <si>
    <t>Novo-Angren TPP Unit 6</t>
  </si>
  <si>
    <t>Novo-Angren TPP Unit 7</t>
  </si>
  <si>
    <t>Sirdarya TPP Unit 1</t>
  </si>
  <si>
    <t>Sirdarya TPP Unit 10</t>
  </si>
  <si>
    <t>Sirdarya TPP Unit 2</t>
  </si>
  <si>
    <t>Sirdarya TPP Unit 3</t>
  </si>
  <si>
    <t>Sirdarya TPP Unit 4</t>
  </si>
  <si>
    <t>Sirdarya TPP Unit 5</t>
  </si>
  <si>
    <t>Sirdarya TPP Unit 6</t>
  </si>
  <si>
    <t>Sirdarya TPP Unit 7</t>
  </si>
  <si>
    <t>Sirdarya TPP Unit 8</t>
  </si>
  <si>
    <t>Sirdarya TPP Unit 9</t>
  </si>
  <si>
    <t>Navoi TPP Unit 11</t>
  </si>
  <si>
    <t>Navoi TPP Unit 12</t>
  </si>
  <si>
    <t>Tachiatash TPP Unit 1</t>
  </si>
  <si>
    <t>Tachiatash TPP Unit 2</t>
  </si>
  <si>
    <t>Tashkent TPP Unit 7</t>
  </si>
  <si>
    <t>Tashkent TPP Unit 8</t>
  </si>
  <si>
    <t>Tashkent TPP Unit 10</t>
  </si>
  <si>
    <t>Navoi TPP Unit 8</t>
  </si>
  <si>
    <t>Navoi TPP Unit 9</t>
  </si>
  <si>
    <t>Tashkent TPP Unit 6</t>
  </si>
  <si>
    <t>Tashkent TPP Unit 11</t>
  </si>
  <si>
    <t>Tashkent TPP Unit 12</t>
  </si>
  <si>
    <t>Tashkent TPP Unit 1</t>
  </si>
  <si>
    <t>Tashkent TPP Unit 2</t>
  </si>
  <si>
    <t>Tashkent TPP Unit 3</t>
  </si>
  <si>
    <t>Tashkent TPP Unit 4</t>
  </si>
  <si>
    <t>Tashkent TPP Unit 5</t>
  </si>
  <si>
    <t>Tashkent TPP Unit 9</t>
  </si>
  <si>
    <t>Navoi TPP Unit 3</t>
  </si>
  <si>
    <t>Navoi TPP Unit 4</t>
  </si>
  <si>
    <t>Tachiatash TPP Unit 3</t>
  </si>
  <si>
    <t>Tachiatash TPP Unit 4</t>
  </si>
  <si>
    <t>Tachiatash TPP Unit 5</t>
  </si>
  <si>
    <t>Angren TPP Unit 5</t>
  </si>
  <si>
    <t>Angren TPP Unit 6</t>
  </si>
  <si>
    <t>Angren TPP Unit 7</t>
  </si>
  <si>
    <t>Angren TPP Unit 8</t>
  </si>
  <si>
    <t>Navoi TPP Unit 7</t>
  </si>
  <si>
    <t>Fergana CHPP Unit 5</t>
  </si>
  <si>
    <t>Fergana CHPP Unit 6</t>
  </si>
  <si>
    <t>Fergana CHPP Unit 3</t>
  </si>
  <si>
    <t>Fergana CHPP Unit 4</t>
  </si>
  <si>
    <t>Angren TPP Unit 2</t>
  </si>
  <si>
    <t>Angren TPP Unit 3</t>
  </si>
  <si>
    <t>Angren TPP Unit 1</t>
  </si>
  <si>
    <t>Angren TPP Unit 4</t>
  </si>
  <si>
    <t>Navoi TPP Unit 5</t>
  </si>
  <si>
    <t>Navoi TPP Unit 6</t>
  </si>
  <si>
    <t>Fergana CHPP Unit 2</t>
  </si>
  <si>
    <t>Other thermal power plants</t>
  </si>
  <si>
    <t>Mubarek CHPP Unit 1</t>
  </si>
  <si>
    <t>Mubarek CHPP Unit 2</t>
  </si>
  <si>
    <t>Tashkent CHPP Unit 1</t>
  </si>
  <si>
    <t>Navoi TPP Unit 1</t>
  </si>
  <si>
    <t>Navoi TPP Unit 2</t>
  </si>
  <si>
    <t>Fergana CHPP Unit 1</t>
  </si>
  <si>
    <t>Zarafshan Wind Power Project</t>
  </si>
  <si>
    <t>Navoi Region</t>
  </si>
  <si>
    <t xml:space="preserve">https://www.adb.org/multimedia/partnership-report2022/stories/building-central-asias-biggest-wind-farm/?form=MG0AV3    https://masdar.ae/en/news/newsroom/president-of-uzbekistan-inaugurates-500mw-zarafshan-wind-farm?utm_source=chatgpt.com  </t>
  </si>
  <si>
    <t>111 wind turbines, each with a capacity of 4.7 MW</t>
  </si>
  <si>
    <t>Kungrad Wind Farm</t>
  </si>
  <si>
    <t>Kungrad district of Karakalpakstan</t>
  </si>
  <si>
    <t>https://kun.uz/en/news/2023/10/09/uzbekistan-approves-agreements-for-construction-of-a-1500-mw-wind-farm?form=MG0AV3</t>
  </si>
  <si>
    <t>This project is being implemented by ACWA Power and includes 300 MW of electricity storage systems, a 500-kilovolt substation, and overhead power lines. Construction is expected to begin in 2024 and be completed by the end of 2026</t>
  </si>
  <si>
    <t>Additional Wind Farms in Karakalpakstan</t>
  </si>
  <si>
    <t>Karakalpakstan</t>
  </si>
  <si>
    <t>Wind Farms in Bukhara Region</t>
  </si>
  <si>
    <t>Bukhara Region</t>
  </si>
  <si>
    <t>Mingbulak Wind Farm</t>
  </si>
  <si>
    <t>Masdar | Masdar Signs Agreement to Develop 1GW Mingbulak Wind Farm in Uzbekistan</t>
  </si>
  <si>
    <t>ACWA Power to build two more wind power plants in Uzbekistan</t>
  </si>
  <si>
    <t>2023 announced</t>
  </si>
  <si>
    <t>Uchkuduk Wind Farm</t>
  </si>
  <si>
    <t>Uchkuduk District, Navoi Region</t>
  </si>
  <si>
    <t>https://kun.uz/en/news/2024/11/13/masdar-to-build-new-1000-mw-wind-power-plant-in-uzbekistan?utm_source=chatgpt.com</t>
  </si>
  <si>
    <t>Gijduvan Wind Farm:</t>
  </si>
  <si>
    <t>UZB</t>
  </si>
  <si>
    <t>Uzbekistan</t>
  </si>
  <si>
    <t>Syrdarya Power Plant</t>
  </si>
  <si>
    <t>Wikipedia</t>
  </si>
  <si>
    <t>https://en.wikipedia.org/wiki/Energy_in_Uzbekistan</t>
  </si>
  <si>
    <t>https://www.gem.wiki</t>
  </si>
  <si>
    <t>Yangi Angren</t>
  </si>
  <si>
    <t>Coal</t>
  </si>
  <si>
    <t>Tashkent</t>
  </si>
  <si>
    <t>Navoi</t>
  </si>
  <si>
    <t>Talimardjan</t>
  </si>
  <si>
    <t>Takhiatash</t>
  </si>
  <si>
    <t>Fergana</t>
  </si>
  <si>
    <t>Turaqurgon</t>
  </si>
  <si>
    <t>Angren</t>
  </si>
  <si>
    <t>Hydro</t>
  </si>
  <si>
    <t>Topolon</t>
  </si>
  <si>
    <t>Andijan</t>
  </si>
  <si>
    <t>Farkhod</t>
  </si>
  <si>
    <t>Qamchiq</t>
  </si>
  <si>
    <t>Hojakent</t>
  </si>
  <si>
    <t>Gazalkent</t>
  </si>
  <si>
    <t>Tuyabogiz</t>
  </si>
  <si>
    <t>Lower Bozsu HPP-14</t>
  </si>
  <si>
    <t>Lower Bozsu HPP-18</t>
  </si>
  <si>
    <t>Lower Bozsu HPP-19</t>
  </si>
  <si>
    <t>Zarchob-2</t>
  </si>
  <si>
    <t>Zarchob-1</t>
  </si>
  <si>
    <t>Lower Bozsu HPP-23</t>
  </si>
  <si>
    <t>Lower Bozsu HPP-22</t>
  </si>
  <si>
    <t>Nur Navoi Solar park</t>
  </si>
  <si>
    <t>Solar</t>
  </si>
  <si>
    <t>Nurabad Solar park</t>
  </si>
  <si>
    <t>Samarkand Solar park</t>
  </si>
  <si>
    <t>https://en.wikipedia.org/wiki/Solar_power_in_Uzbekistan</t>
  </si>
  <si>
    <t>Chuponota Solar park</t>
  </si>
  <si>
    <t>Pop Solar park</t>
  </si>
  <si>
    <t>Karaulbazar Solar park</t>
  </si>
  <si>
    <t>Yukorichirchik Solar park</t>
  </si>
  <si>
    <t>Jizzakh Solar park</t>
  </si>
  <si>
    <t>Nishon Solar park</t>
  </si>
  <si>
    <t>Capacity</t>
  </si>
  <si>
    <t>Total Capacity</t>
  </si>
  <si>
    <t>Total Uzbekistan Capacity</t>
  </si>
  <si>
    <t>Name</t>
  </si>
  <si>
    <t>Location</t>
  </si>
  <si>
    <t>Source</t>
  </si>
  <si>
    <t>Year of operating</t>
  </si>
  <si>
    <t>Description</t>
  </si>
  <si>
    <t>Geolocation source</t>
  </si>
  <si>
    <t>URL</t>
  </si>
  <si>
    <t>Commissioning year</t>
  </si>
  <si>
    <t>Primary fuel</t>
  </si>
  <si>
    <t>Longitude</t>
  </si>
  <si>
    <t>Latitude</t>
  </si>
  <si>
    <t>Capacity MW</t>
  </si>
  <si>
    <t>Country long</t>
  </si>
  <si>
    <t>Country</t>
  </si>
  <si>
    <t>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</si>
</sst>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%"/>
    <numFmt numFmtId="165" formatCode="#,##0.0%"/>
    <numFmt numFmtId="166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3" fillId="0" borderId="1"/>
    <xf numFmtId="0" fontId="4" fillId="0" borderId="1" applyNumberFormat="0" applyFill="0" applyBorder="0" applyAlignment="0" applyProtection="0"/>
    <xf numFmtId="0" fontId="8" fillId="0" borderId="1"/>
  </cellStyleXfs>
  <cellXfs count="51">
    <xf numFmtId="0" fontId="0" fillId="0" borderId="0" xfId="0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4" fontId="0" fillId="0" borderId="0" xfId="0" applyNumberFormat="1"/>
    <xf numFmtId="4" fontId="0" fillId="0" borderId="0" xfId="0" applyNumberFormat="1" applyAlignment="1">
      <alignment horizontal="righ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" fontId="2" fillId="0" borderId="1" xfId="0" applyNumberFormat="1" applyFont="1" applyBorder="1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4" fillId="0" borderId="1" xfId="2"/>
    <xf numFmtId="0" fontId="6" fillId="0" borderId="1" xfId="1" applyFont="1" applyAlignment="1">
      <alignment horizontal="center" vertical="center" wrapText="1"/>
    </xf>
    <xf numFmtId="0" fontId="6" fillId="0" borderId="1" xfId="1" applyFont="1" applyAlignment="1">
      <alignment vertical="center"/>
    </xf>
    <xf numFmtId="0" fontId="6" fillId="0" borderId="1" xfId="1" applyFont="1" applyAlignment="1">
      <alignment vertical="center" wrapText="1"/>
    </xf>
    <xf numFmtId="0" fontId="7" fillId="0" borderId="1" xfId="2" applyFont="1" applyAlignment="1">
      <alignment vertical="center" wrapText="1"/>
    </xf>
    <xf numFmtId="0" fontId="7" fillId="0" borderId="1" xfId="2" applyFont="1" applyAlignment="1">
      <alignment vertical="center"/>
    </xf>
    <xf numFmtId="0" fontId="6" fillId="0" borderId="1" xfId="1" applyFont="1" applyAlignment="1">
      <alignment vertical="top"/>
    </xf>
    <xf numFmtId="0" fontId="8" fillId="0" borderId="1" xfId="3"/>
    <xf numFmtId="2" fontId="0" fillId="0" borderId="0" xfId="0" applyNumberFormat="1"/>
    <xf numFmtId="166" fontId="0" fillId="0" borderId="0" xfId="0" applyNumberFormat="1"/>
    <xf numFmtId="1" fontId="5" fillId="0" borderId="0" xfId="0" applyNumberFormat="1" applyFont="1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0" borderId="1" xfId="1" applyFont="1" applyAlignment="1">
      <alignment horizontal="center" vertical="center" wrapText="1"/>
    </xf>
    <xf numFmtId="0" fontId="9" fillId="0" borderId="1" xfId="1" applyFont="1" applyAlignment="1">
      <alignment vertical="center"/>
    </xf>
    <xf numFmtId="0" fontId="9" fillId="0" borderId="1" xfId="1" applyFont="1" applyFill="1" applyAlignment="1">
      <alignment horizontal="center" vertical="center" wrapText="1"/>
    </xf>
    <xf numFmtId="1" fontId="6" fillId="0" borderId="1" xfId="1" applyNumberFormat="1" applyFont="1" applyAlignment="1">
      <alignment vertical="center" wrapText="1"/>
    </xf>
    <xf numFmtId="1" fontId="6" fillId="0" borderId="1" xfId="1" applyNumberFormat="1" applyFont="1" applyAlignment="1">
      <alignment vertical="center"/>
    </xf>
    <xf numFmtId="0" fontId="10" fillId="0" borderId="1" xfId="3" applyFont="1" applyFill="1"/>
    <xf numFmtId="0" fontId="10" fillId="0" borderId="1" xfId="3" applyFont="1"/>
    <xf numFmtId="0" fontId="2" fillId="0" borderId="1" xfId="0" applyNumberFormat="1" applyFont="1" applyBorder="1" applyAlignment="1">
      <alignment horizontal="right"/>
    </xf>
    <xf numFmtId="0" fontId="0" fillId="0" borderId="0" xfId="0" applyNumberFormat="1" applyAlignment="1">
      <alignment vertical="center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4">
    <cellStyle name="Hyperlink" xfId="2" builtinId="8"/>
    <cellStyle name="Normal" xfId="0" builtinId="0"/>
    <cellStyle name="Normal 2" xfId="1" xr:uid="{6BC204FC-E80F-4D2C-8B1C-866106CA678F}"/>
    <cellStyle name="Normal 3" xfId="3" xr:uid="{B80F0098-A8C4-449B-97D6-061E226C2A4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kun.uz/en/news/2023/10/09/uzbekistan-approves-agreements-for-construction-of-a-1500-mw-wind-farm?form=MG0AV3" TargetMode="External"/><Relationship Id="rId2" Type="http://schemas.openxmlformats.org/officeDocument/2006/relationships/hyperlink" Target="https://masdar.ae/en/news/newsroom/masdar-signs-agreement-to-develop-1gw-mingbulak-wind-farm-in-uzbekistan" TargetMode="External"/><Relationship Id="rId1" Type="http://schemas.openxmlformats.org/officeDocument/2006/relationships/hyperlink" Target="https://www.adb.org/multimedia/partnership-report2022/stories/building-central-asias-biggest-wind-farm/?form=MG0AV3" TargetMode="External"/><Relationship Id="rId4" Type="http://schemas.openxmlformats.org/officeDocument/2006/relationships/hyperlink" Target="https://kun.uz/en/news/2024/03/07/acwa-power-to-build-two-more-wind-power-plants-in-uzbekistan?utm_source=chatgpt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em.wik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65"/>
  <sheetViews>
    <sheetView tabSelected="1" zoomScale="90" workbookViewId="0">
      <selection activeCell="I8" sqref="I8"/>
    </sheetView>
  </sheetViews>
  <sheetFormatPr defaultRowHeight="14.4" x14ac:dyDescent="0.3"/>
  <cols>
    <col min="1" max="1" width="23.6640625" bestFit="1" customWidth="1"/>
    <col min="2" max="2" width="8.44140625" bestFit="1" customWidth="1"/>
    <col min="3" max="3" width="18.109375" style="17" bestFit="1" customWidth="1"/>
    <col min="4" max="4" width="24.88671875" style="18" customWidth="1"/>
    <col min="5" max="5" width="13.5546875" bestFit="1" customWidth="1"/>
    <col min="6" max="6" width="22.88671875" style="16" bestFit="1" customWidth="1"/>
    <col min="7" max="7" width="15" bestFit="1" customWidth="1"/>
  </cols>
  <sheetData>
    <row r="1" spans="1:7" ht="47.25" customHeight="1" x14ac:dyDescent="0.3">
      <c r="A1" s="31" t="s">
        <v>55</v>
      </c>
      <c r="B1" s="31" t="s">
        <v>56</v>
      </c>
      <c r="C1" s="48" t="s">
        <v>1</v>
      </c>
      <c r="D1" s="32" t="s">
        <v>57</v>
      </c>
      <c r="E1" s="49"/>
      <c r="F1" s="50" t="s">
        <v>58</v>
      </c>
    </row>
    <row r="2" spans="1:7" ht="18.75" customHeight="1" x14ac:dyDescent="0.3">
      <c r="A2" t="s">
        <v>59</v>
      </c>
      <c r="B2" t="s">
        <v>60</v>
      </c>
      <c r="C2" s="15">
        <v>800</v>
      </c>
      <c r="D2" s="3">
        <v>42</v>
      </c>
      <c r="F2" s="15">
        <f>SUM(C2:C65)</f>
        <v>10660</v>
      </c>
      <c r="G2" s="28"/>
    </row>
    <row r="3" spans="1:7" ht="18.75" customHeight="1" x14ac:dyDescent="0.3">
      <c r="A3" t="s">
        <v>61</v>
      </c>
      <c r="B3" t="s">
        <v>62</v>
      </c>
      <c r="C3" s="15">
        <v>300</v>
      </c>
      <c r="D3" s="3">
        <v>23</v>
      </c>
    </row>
    <row r="4" spans="1:7" ht="18.75" customHeight="1" x14ac:dyDescent="0.3">
      <c r="A4" t="s">
        <v>63</v>
      </c>
      <c r="B4" t="s">
        <v>62</v>
      </c>
      <c r="C4" s="15">
        <v>300</v>
      </c>
      <c r="D4" s="3">
        <v>23</v>
      </c>
      <c r="F4" s="29" t="s">
        <v>188</v>
      </c>
    </row>
    <row r="5" spans="1:7" ht="18.75" customHeight="1" x14ac:dyDescent="0.3">
      <c r="A5" t="s">
        <v>64</v>
      </c>
      <c r="B5" t="s">
        <v>62</v>
      </c>
      <c r="C5" s="15">
        <v>300</v>
      </c>
      <c r="D5" s="3">
        <v>24</v>
      </c>
      <c r="F5" s="16">
        <f>F2+'Hydropower plants'!C2+'Wind Turbine'!G2+'Power Plant'!L2</f>
        <v>35154.699999999997</v>
      </c>
      <c r="G5">
        <f>F5*0.3</f>
        <v>10546.409999999998</v>
      </c>
    </row>
    <row r="6" spans="1:7" ht="18.75" customHeight="1" x14ac:dyDescent="0.3">
      <c r="A6" t="s">
        <v>65</v>
      </c>
      <c r="B6" t="s">
        <v>62</v>
      </c>
      <c r="C6" s="15">
        <v>300</v>
      </c>
      <c r="D6" s="3">
        <v>25</v>
      </c>
    </row>
    <row r="7" spans="1:7" ht="18.75" customHeight="1" x14ac:dyDescent="0.3">
      <c r="A7" t="s">
        <v>66</v>
      </c>
      <c r="B7" t="s">
        <v>62</v>
      </c>
      <c r="C7" s="15">
        <v>300</v>
      </c>
      <c r="D7" s="3">
        <v>26</v>
      </c>
    </row>
    <row r="8" spans="1:7" ht="18.75" customHeight="1" x14ac:dyDescent="0.3">
      <c r="A8" t="s">
        <v>67</v>
      </c>
      <c r="B8" t="s">
        <v>62</v>
      </c>
      <c r="C8" s="15">
        <v>300</v>
      </c>
      <c r="D8" s="3">
        <v>29</v>
      </c>
    </row>
    <row r="9" spans="1:7" ht="18.75" customHeight="1" x14ac:dyDescent="0.3">
      <c r="A9" t="s">
        <v>68</v>
      </c>
      <c r="B9" t="s">
        <v>62</v>
      </c>
      <c r="C9" s="15">
        <v>300</v>
      </c>
      <c r="D9" s="3">
        <v>33</v>
      </c>
    </row>
    <row r="10" spans="1:7" ht="18.75" customHeight="1" x14ac:dyDescent="0.3">
      <c r="A10" t="s">
        <v>69</v>
      </c>
      <c r="B10" t="s">
        <v>60</v>
      </c>
      <c r="C10" s="15">
        <v>300</v>
      </c>
      <c r="D10" s="3">
        <v>10</v>
      </c>
    </row>
    <row r="11" spans="1:7" ht="18.75" customHeight="1" x14ac:dyDescent="0.3">
      <c r="A11" t="s">
        <v>70</v>
      </c>
      <c r="B11" t="s">
        <v>60</v>
      </c>
      <c r="C11" s="15">
        <v>300</v>
      </c>
      <c r="D11" s="3">
        <v>19</v>
      </c>
    </row>
    <row r="12" spans="1:7" ht="18.75" customHeight="1" x14ac:dyDescent="0.3">
      <c r="A12" t="s">
        <v>71</v>
      </c>
      <c r="B12" t="s">
        <v>60</v>
      </c>
      <c r="C12" s="15">
        <v>300</v>
      </c>
      <c r="D12" s="3">
        <v>11</v>
      </c>
    </row>
    <row r="13" spans="1:7" ht="18.75" customHeight="1" x14ac:dyDescent="0.3">
      <c r="A13" t="s">
        <v>72</v>
      </c>
      <c r="B13" t="s">
        <v>60</v>
      </c>
      <c r="C13" s="15">
        <v>300</v>
      </c>
      <c r="D13" s="3">
        <v>12</v>
      </c>
    </row>
    <row r="14" spans="1:7" ht="18.75" customHeight="1" x14ac:dyDescent="0.3">
      <c r="A14" t="s">
        <v>73</v>
      </c>
      <c r="B14" t="s">
        <v>60</v>
      </c>
      <c r="C14" s="15">
        <v>300</v>
      </c>
      <c r="D14" s="3">
        <v>13</v>
      </c>
    </row>
    <row r="15" spans="1:7" ht="18.75" customHeight="1" x14ac:dyDescent="0.3">
      <c r="A15" t="s">
        <v>74</v>
      </c>
      <c r="B15" t="s">
        <v>60</v>
      </c>
      <c r="C15" s="15">
        <v>300</v>
      </c>
      <c r="D15" s="3">
        <v>14</v>
      </c>
    </row>
    <row r="16" spans="1:7" ht="18.75" customHeight="1" x14ac:dyDescent="0.3">
      <c r="A16" t="s">
        <v>75</v>
      </c>
      <c r="B16" t="s">
        <v>60</v>
      </c>
      <c r="C16" s="15">
        <v>300</v>
      </c>
      <c r="D16" s="3">
        <v>15</v>
      </c>
    </row>
    <row r="17" spans="1:4" ht="18.75" customHeight="1" x14ac:dyDescent="0.3">
      <c r="A17" t="s">
        <v>76</v>
      </c>
      <c r="B17" t="s">
        <v>60</v>
      </c>
      <c r="C17" s="15">
        <v>300</v>
      </c>
      <c r="D17" s="3">
        <v>16</v>
      </c>
    </row>
    <row r="18" spans="1:4" ht="18.75" customHeight="1" x14ac:dyDescent="0.3">
      <c r="A18" t="s">
        <v>77</v>
      </c>
      <c r="B18" t="s">
        <v>60</v>
      </c>
      <c r="C18" s="15">
        <v>300</v>
      </c>
      <c r="D18" s="3">
        <v>17</v>
      </c>
    </row>
    <row r="19" spans="1:4" ht="18.75" customHeight="1" x14ac:dyDescent="0.3">
      <c r="A19" t="s">
        <v>78</v>
      </c>
      <c r="B19" t="s">
        <v>60</v>
      </c>
      <c r="C19" s="15">
        <v>300</v>
      </c>
      <c r="D19" s="3">
        <v>18</v>
      </c>
    </row>
    <row r="20" spans="1:4" ht="18.75" customHeight="1" x14ac:dyDescent="0.3">
      <c r="A20" t="s">
        <v>79</v>
      </c>
      <c r="B20" t="s">
        <v>60</v>
      </c>
      <c r="C20" s="15">
        <v>210</v>
      </c>
      <c r="D20" s="3">
        <v>18</v>
      </c>
    </row>
    <row r="21" spans="1:4" ht="18.75" customHeight="1" x14ac:dyDescent="0.3">
      <c r="A21" t="s">
        <v>80</v>
      </c>
      <c r="B21" t="s">
        <v>60</v>
      </c>
      <c r="C21" s="15">
        <v>210</v>
      </c>
      <c r="D21" s="3">
        <v>19</v>
      </c>
    </row>
    <row r="22" spans="1:4" ht="18.75" customHeight="1" x14ac:dyDescent="0.3">
      <c r="A22" t="s">
        <v>81</v>
      </c>
      <c r="B22" t="s">
        <v>60</v>
      </c>
      <c r="C22" s="15">
        <v>210</v>
      </c>
      <c r="D22" s="3">
        <v>3</v>
      </c>
    </row>
    <row r="23" spans="1:4" ht="18.75" customHeight="1" x14ac:dyDescent="0.3">
      <c r="A23" t="s">
        <v>82</v>
      </c>
      <c r="B23" t="s">
        <v>60</v>
      </c>
      <c r="C23" s="15">
        <v>210</v>
      </c>
      <c r="D23" s="3">
        <v>3</v>
      </c>
    </row>
    <row r="24" spans="1:4" ht="18.75" customHeight="1" x14ac:dyDescent="0.3">
      <c r="A24" t="s">
        <v>83</v>
      </c>
      <c r="B24" t="s">
        <v>60</v>
      </c>
      <c r="C24" s="15">
        <v>165</v>
      </c>
      <c r="D24" s="3">
        <v>5</v>
      </c>
    </row>
    <row r="25" spans="1:4" ht="18.75" customHeight="1" x14ac:dyDescent="0.3">
      <c r="A25" t="s">
        <v>84</v>
      </c>
      <c r="B25" t="s">
        <v>60</v>
      </c>
      <c r="C25" s="15">
        <v>165</v>
      </c>
      <c r="D25" s="3">
        <v>6</v>
      </c>
    </row>
    <row r="26" spans="1:4" ht="18.75" customHeight="1" x14ac:dyDescent="0.3">
      <c r="A26" t="s">
        <v>85</v>
      </c>
      <c r="B26" t="s">
        <v>60</v>
      </c>
      <c r="C26" s="15">
        <v>165</v>
      </c>
      <c r="D26" s="3">
        <v>8</v>
      </c>
    </row>
    <row r="27" spans="1:4" ht="18.75" customHeight="1" x14ac:dyDescent="0.3">
      <c r="A27" t="s">
        <v>86</v>
      </c>
      <c r="B27" t="s">
        <v>60</v>
      </c>
      <c r="C27" s="15">
        <v>160</v>
      </c>
      <c r="D27" s="3">
        <v>6</v>
      </c>
    </row>
    <row r="28" spans="1:4" ht="18.75" customHeight="1" x14ac:dyDescent="0.3">
      <c r="A28" t="s">
        <v>87</v>
      </c>
      <c r="B28" t="s">
        <v>60</v>
      </c>
      <c r="C28" s="15">
        <v>160</v>
      </c>
      <c r="D28" s="3">
        <v>6</v>
      </c>
    </row>
    <row r="29" spans="1:4" ht="18.75" customHeight="1" x14ac:dyDescent="0.3">
      <c r="A29" t="s">
        <v>88</v>
      </c>
      <c r="B29" t="s">
        <v>60</v>
      </c>
      <c r="C29" s="15">
        <v>155</v>
      </c>
      <c r="D29" s="3">
        <v>5</v>
      </c>
    </row>
    <row r="30" spans="1:4" ht="18.75" customHeight="1" x14ac:dyDescent="0.3">
      <c r="A30" t="s">
        <v>89</v>
      </c>
      <c r="B30" t="s">
        <v>60</v>
      </c>
      <c r="C30" s="15">
        <v>155</v>
      </c>
      <c r="D30" s="3">
        <v>8</v>
      </c>
    </row>
    <row r="31" spans="1:4" ht="18.75" customHeight="1" x14ac:dyDescent="0.3">
      <c r="A31" t="s">
        <v>90</v>
      </c>
      <c r="B31" t="s">
        <v>60</v>
      </c>
      <c r="C31" s="15">
        <v>155</v>
      </c>
      <c r="D31" s="3">
        <v>9</v>
      </c>
    </row>
    <row r="32" spans="1:4" ht="18.75" customHeight="1" x14ac:dyDescent="0.3">
      <c r="A32" t="s">
        <v>91</v>
      </c>
      <c r="B32" t="s">
        <v>60</v>
      </c>
      <c r="C32" s="15">
        <v>150</v>
      </c>
      <c r="D32" s="3">
        <v>3</v>
      </c>
    </row>
    <row r="33" spans="1:4" ht="18.75" customHeight="1" x14ac:dyDescent="0.3">
      <c r="A33" t="s">
        <v>92</v>
      </c>
      <c r="B33" t="s">
        <v>60</v>
      </c>
      <c r="C33" s="15">
        <v>150</v>
      </c>
      <c r="D33" s="3">
        <v>3</v>
      </c>
    </row>
    <row r="34" spans="1:4" ht="18.75" customHeight="1" x14ac:dyDescent="0.3">
      <c r="A34" t="s">
        <v>93</v>
      </c>
      <c r="B34" t="s">
        <v>60</v>
      </c>
      <c r="C34" s="15">
        <v>150</v>
      </c>
      <c r="D34" s="3">
        <v>3</v>
      </c>
    </row>
    <row r="35" spans="1:4" ht="18.75" customHeight="1" x14ac:dyDescent="0.3">
      <c r="A35" t="s">
        <v>94</v>
      </c>
      <c r="B35" t="s">
        <v>60</v>
      </c>
      <c r="C35" s="15">
        <v>150</v>
      </c>
      <c r="D35" s="3">
        <v>3</v>
      </c>
    </row>
    <row r="36" spans="1:4" ht="18.75" customHeight="1" x14ac:dyDescent="0.3">
      <c r="A36" t="s">
        <v>95</v>
      </c>
      <c r="B36" t="s">
        <v>60</v>
      </c>
      <c r="C36" s="15">
        <v>150</v>
      </c>
      <c r="D36" s="3">
        <v>4</v>
      </c>
    </row>
    <row r="37" spans="1:4" ht="18.75" customHeight="1" x14ac:dyDescent="0.3">
      <c r="A37" t="s">
        <v>96</v>
      </c>
      <c r="B37" t="s">
        <v>60</v>
      </c>
      <c r="C37" s="15">
        <v>150</v>
      </c>
      <c r="D37" s="3">
        <v>7</v>
      </c>
    </row>
    <row r="38" spans="1:4" ht="18.75" customHeight="1" x14ac:dyDescent="0.3">
      <c r="A38" t="s">
        <v>97</v>
      </c>
      <c r="B38" t="s">
        <v>60</v>
      </c>
      <c r="C38" s="15">
        <v>150</v>
      </c>
      <c r="D38" s="3">
        <v>3</v>
      </c>
    </row>
    <row r="39" spans="1:4" ht="18.75" customHeight="1" x14ac:dyDescent="0.3">
      <c r="A39" t="s">
        <v>98</v>
      </c>
      <c r="B39" t="s">
        <v>60</v>
      </c>
      <c r="C39" s="15">
        <v>150</v>
      </c>
      <c r="D39" s="3">
        <v>3</v>
      </c>
    </row>
    <row r="40" spans="1:4" ht="18.75" customHeight="1" x14ac:dyDescent="0.3">
      <c r="A40" t="s">
        <v>99</v>
      </c>
      <c r="B40" t="s">
        <v>60</v>
      </c>
      <c r="C40" s="15">
        <v>110</v>
      </c>
      <c r="D40" s="3">
        <v>3</v>
      </c>
    </row>
    <row r="41" spans="1:4" ht="18.75" customHeight="1" x14ac:dyDescent="0.3">
      <c r="A41" t="s">
        <v>100</v>
      </c>
      <c r="B41" t="s">
        <v>60</v>
      </c>
      <c r="C41" s="15">
        <v>100</v>
      </c>
      <c r="D41" s="3">
        <v>7</v>
      </c>
    </row>
    <row r="42" spans="1:4" ht="18.75" customHeight="1" x14ac:dyDescent="0.3">
      <c r="A42" t="s">
        <v>101</v>
      </c>
      <c r="B42" t="s">
        <v>60</v>
      </c>
      <c r="C42" s="15">
        <v>100</v>
      </c>
      <c r="D42" s="3">
        <v>9</v>
      </c>
    </row>
    <row r="43" spans="1:4" ht="18.75" customHeight="1" x14ac:dyDescent="0.3">
      <c r="A43" t="s">
        <v>102</v>
      </c>
      <c r="B43" t="s">
        <v>62</v>
      </c>
      <c r="C43" s="15">
        <v>68</v>
      </c>
      <c r="D43" s="3">
        <v>3</v>
      </c>
    </row>
    <row r="44" spans="1:4" ht="18.75" customHeight="1" x14ac:dyDescent="0.3">
      <c r="A44" t="s">
        <v>103</v>
      </c>
      <c r="B44" t="s">
        <v>62</v>
      </c>
      <c r="C44" s="15">
        <v>68</v>
      </c>
      <c r="D44" s="3">
        <v>3</v>
      </c>
    </row>
    <row r="45" spans="1:4" ht="18.75" customHeight="1" x14ac:dyDescent="0.3">
      <c r="A45" t="s">
        <v>104</v>
      </c>
      <c r="B45" t="s">
        <v>62</v>
      </c>
      <c r="C45" s="15">
        <v>68</v>
      </c>
      <c r="D45" s="3">
        <v>3</v>
      </c>
    </row>
    <row r="46" spans="1:4" ht="18.75" customHeight="1" x14ac:dyDescent="0.3">
      <c r="A46" t="s">
        <v>105</v>
      </c>
      <c r="B46" t="s">
        <v>62</v>
      </c>
      <c r="C46" s="15">
        <v>68</v>
      </c>
      <c r="D46" s="3">
        <v>3</v>
      </c>
    </row>
    <row r="47" spans="1:4" ht="18.75" customHeight="1" x14ac:dyDescent="0.3">
      <c r="A47" t="s">
        <v>106</v>
      </c>
      <c r="B47" t="s">
        <v>60</v>
      </c>
      <c r="C47" s="15">
        <v>60</v>
      </c>
      <c r="D47" s="3">
        <v>5</v>
      </c>
    </row>
    <row r="48" spans="1:4" ht="18.75" customHeight="1" x14ac:dyDescent="0.3">
      <c r="A48" t="s">
        <v>107</v>
      </c>
      <c r="B48" t="s">
        <v>60</v>
      </c>
      <c r="C48" s="15">
        <v>60</v>
      </c>
      <c r="D48" s="3">
        <v>10</v>
      </c>
    </row>
    <row r="49" spans="1:4" ht="18.75" customHeight="1" x14ac:dyDescent="0.3">
      <c r="A49" t="s">
        <v>108</v>
      </c>
      <c r="B49" t="s">
        <v>60</v>
      </c>
      <c r="C49" s="15">
        <v>60</v>
      </c>
      <c r="D49" s="3">
        <v>17</v>
      </c>
    </row>
    <row r="50" spans="1:4" ht="18.75" customHeight="1" x14ac:dyDescent="0.3">
      <c r="A50" t="s">
        <v>109</v>
      </c>
      <c r="B50" t="s">
        <v>60</v>
      </c>
      <c r="C50" s="15">
        <v>55</v>
      </c>
      <c r="D50" s="3">
        <v>2</v>
      </c>
    </row>
    <row r="51" spans="1:4" ht="18.75" customHeight="1" x14ac:dyDescent="0.3">
      <c r="A51" t="s">
        <v>110</v>
      </c>
      <c r="B51" t="s">
        <v>60</v>
      </c>
      <c r="C51" s="15">
        <v>55</v>
      </c>
      <c r="D51" s="3">
        <v>6</v>
      </c>
    </row>
    <row r="52" spans="1:4" ht="18.75" customHeight="1" x14ac:dyDescent="0.3">
      <c r="A52" t="s">
        <v>111</v>
      </c>
      <c r="B52" t="s">
        <v>62</v>
      </c>
      <c r="C52" s="15">
        <v>54.5</v>
      </c>
      <c r="D52" s="3">
        <v>3</v>
      </c>
    </row>
    <row r="53" spans="1:4" ht="18.75" customHeight="1" x14ac:dyDescent="0.3">
      <c r="A53" t="s">
        <v>112</v>
      </c>
      <c r="B53" t="s">
        <v>62</v>
      </c>
      <c r="C53" s="15">
        <v>53</v>
      </c>
      <c r="D53" s="3">
        <v>3</v>
      </c>
    </row>
    <row r="54" spans="1:4" ht="18.75" customHeight="1" x14ac:dyDescent="0.3">
      <c r="A54" t="s">
        <v>113</v>
      </c>
      <c r="B54" t="s">
        <v>62</v>
      </c>
      <c r="C54" s="15">
        <v>52.5</v>
      </c>
      <c r="D54" s="3">
        <v>3</v>
      </c>
    </row>
    <row r="55" spans="1:4" ht="18.75" customHeight="1" x14ac:dyDescent="0.3">
      <c r="A55" t="s">
        <v>114</v>
      </c>
      <c r="B55" t="s">
        <v>62</v>
      </c>
      <c r="C55" s="15">
        <v>52</v>
      </c>
      <c r="D55" s="3">
        <v>3</v>
      </c>
    </row>
    <row r="56" spans="1:4" ht="18.75" customHeight="1" x14ac:dyDescent="0.3">
      <c r="A56" t="s">
        <v>115</v>
      </c>
      <c r="B56" t="s">
        <v>60</v>
      </c>
      <c r="C56" s="15">
        <v>50</v>
      </c>
      <c r="D56" s="3">
        <v>4</v>
      </c>
    </row>
    <row r="57" spans="1:4" ht="18.75" customHeight="1" x14ac:dyDescent="0.3">
      <c r="A57" t="s">
        <v>116</v>
      </c>
      <c r="B57" t="s">
        <v>60</v>
      </c>
      <c r="C57" s="15">
        <v>50</v>
      </c>
      <c r="D57" s="3">
        <v>5</v>
      </c>
    </row>
    <row r="58" spans="1:4" ht="18.75" customHeight="1" x14ac:dyDescent="0.3">
      <c r="A58" t="s">
        <v>117</v>
      </c>
      <c r="B58" t="s">
        <v>60</v>
      </c>
      <c r="C58" s="15">
        <v>50</v>
      </c>
      <c r="D58" s="3">
        <v>0</v>
      </c>
    </row>
    <row r="59" spans="1:4" ht="18.75" customHeight="1" x14ac:dyDescent="0.3">
      <c r="A59" t="s">
        <v>118</v>
      </c>
      <c r="B59" t="s">
        <v>60</v>
      </c>
      <c r="C59" s="15">
        <v>41</v>
      </c>
      <c r="D59" s="3">
        <v>0</v>
      </c>
    </row>
    <row r="60" spans="1:4" ht="18.75" customHeight="1" x14ac:dyDescent="0.3">
      <c r="A60" t="s">
        <v>119</v>
      </c>
      <c r="B60" t="s">
        <v>60</v>
      </c>
      <c r="C60" s="15">
        <v>30</v>
      </c>
      <c r="D60" s="3">
        <v>22</v>
      </c>
    </row>
    <row r="61" spans="1:4" ht="18.75" customHeight="1" x14ac:dyDescent="0.3">
      <c r="A61" t="s">
        <v>120</v>
      </c>
      <c r="B61" t="s">
        <v>60</v>
      </c>
      <c r="C61" s="15">
        <v>30</v>
      </c>
      <c r="D61" s="3">
        <v>23</v>
      </c>
    </row>
    <row r="62" spans="1:4" ht="18.75" customHeight="1" x14ac:dyDescent="0.3">
      <c r="A62" t="s">
        <v>121</v>
      </c>
      <c r="B62" t="s">
        <v>60</v>
      </c>
      <c r="C62" s="15">
        <v>30</v>
      </c>
      <c r="D62" s="3">
        <v>0</v>
      </c>
    </row>
    <row r="63" spans="1:4" ht="18.75" customHeight="1" x14ac:dyDescent="0.3">
      <c r="A63" t="s">
        <v>122</v>
      </c>
      <c r="B63" t="s">
        <v>60</v>
      </c>
      <c r="C63" s="15">
        <v>25</v>
      </c>
      <c r="D63" s="3">
        <v>3</v>
      </c>
    </row>
    <row r="64" spans="1:4" ht="18.75" customHeight="1" x14ac:dyDescent="0.3">
      <c r="A64" t="s">
        <v>123</v>
      </c>
      <c r="B64" t="s">
        <v>60</v>
      </c>
      <c r="C64" s="15">
        <v>25</v>
      </c>
      <c r="D64" s="3">
        <v>3</v>
      </c>
    </row>
    <row r="65" spans="1:4" ht="18.75" customHeight="1" x14ac:dyDescent="0.3">
      <c r="A65" t="s">
        <v>124</v>
      </c>
      <c r="B65" t="s">
        <v>60</v>
      </c>
      <c r="C65" s="15">
        <v>25</v>
      </c>
      <c r="D65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12"/>
  <sheetViews>
    <sheetView workbookViewId="0">
      <selection activeCell="F5" sqref="F5"/>
    </sheetView>
  </sheetViews>
  <sheetFormatPr defaultRowHeight="14.4" x14ac:dyDescent="0.3"/>
  <cols>
    <col min="1" max="1" width="15.33203125" style="12" bestFit="1" customWidth="1"/>
    <col min="2" max="2" width="22" style="13" bestFit="1" customWidth="1"/>
    <col min="3" max="3" width="18.109375" style="14" bestFit="1" customWidth="1"/>
    <col min="4" max="4" width="18.6640625" style="5" bestFit="1" customWidth="1"/>
    <col min="5" max="5" width="25.109375" style="11" bestFit="1" customWidth="1"/>
    <col min="6" max="6" width="25.109375" bestFit="1" customWidth="1"/>
    <col min="7" max="7" width="24.44140625" bestFit="1" customWidth="1"/>
  </cols>
  <sheetData>
    <row r="1" spans="1:7" ht="18.75" customHeight="1" x14ac:dyDescent="0.3">
      <c r="A1" s="31" t="s">
        <v>36</v>
      </c>
      <c r="B1" s="32" t="s">
        <v>37</v>
      </c>
      <c r="C1" s="33" t="s">
        <v>38</v>
      </c>
      <c r="D1" s="34" t="s">
        <v>39</v>
      </c>
      <c r="E1" s="35" t="s">
        <v>187</v>
      </c>
      <c r="F1" s="35" t="s">
        <v>40</v>
      </c>
      <c r="G1" s="36" t="s">
        <v>41</v>
      </c>
    </row>
    <row r="2" spans="1:7" ht="18.75" customHeight="1" x14ac:dyDescent="0.3">
      <c r="A2" s="7" t="s">
        <v>42</v>
      </c>
      <c r="B2" s="8">
        <v>772</v>
      </c>
      <c r="C2" s="9">
        <v>0.4</v>
      </c>
      <c r="D2" s="4">
        <f t="shared" ref="D2:D11" si="0">B2*C2</f>
        <v>308.8</v>
      </c>
      <c r="E2" s="15">
        <f>SUM(B2:B12)</f>
        <v>10058</v>
      </c>
      <c r="F2" s="10">
        <f>SUM(E2:E11)/SUM(C2:C11)</f>
        <v>4329.3766233766228</v>
      </c>
      <c r="G2" s="30" t="s">
        <v>43</v>
      </c>
    </row>
    <row r="3" spans="1:7" ht="18.75" customHeight="1" x14ac:dyDescent="0.3">
      <c r="A3" s="7" t="s">
        <v>44</v>
      </c>
      <c r="B3" s="8">
        <v>2840</v>
      </c>
      <c r="C3" s="9">
        <v>0.34</v>
      </c>
      <c r="D3" s="4">
        <f t="shared" si="0"/>
        <v>965.6</v>
      </c>
    </row>
    <row r="4" spans="1:7" ht="18.75" customHeight="1" x14ac:dyDescent="0.3">
      <c r="A4" s="7" t="s">
        <v>45</v>
      </c>
      <c r="B4" s="8">
        <v>1960</v>
      </c>
      <c r="C4" s="9">
        <v>0.32</v>
      </c>
      <c r="D4" s="4">
        <f t="shared" si="0"/>
        <v>627.20000000000005</v>
      </c>
      <c r="E4" s="11" t="s">
        <v>203</v>
      </c>
    </row>
    <row r="5" spans="1:7" ht="18.75" customHeight="1" x14ac:dyDescent="0.3">
      <c r="A5" s="7" t="s">
        <v>46</v>
      </c>
      <c r="B5" s="8">
        <v>1758</v>
      </c>
      <c r="C5" s="9">
        <v>0.33</v>
      </c>
      <c r="D5" s="4">
        <f t="shared" si="0"/>
        <v>580.14</v>
      </c>
      <c r="E5" s="27">
        <f>SUM(D2:D11)</f>
        <v>3276.4800000000005</v>
      </c>
    </row>
    <row r="6" spans="1:7" ht="18.75" customHeight="1" x14ac:dyDescent="0.3">
      <c r="A6" s="7" t="s">
        <v>47</v>
      </c>
      <c r="B6" s="8">
        <v>1181</v>
      </c>
      <c r="C6" s="9">
        <v>0.3</v>
      </c>
      <c r="D6" s="4">
        <f t="shared" si="0"/>
        <v>354.3</v>
      </c>
    </row>
    <row r="7" spans="1:7" ht="18.75" customHeight="1" x14ac:dyDescent="0.3">
      <c r="A7" s="7" t="s">
        <v>48</v>
      </c>
      <c r="B7" s="8">
        <v>690</v>
      </c>
      <c r="C7" s="9">
        <v>0.3</v>
      </c>
      <c r="D7" s="3">
        <f t="shared" si="0"/>
        <v>207</v>
      </c>
    </row>
    <row r="8" spans="1:7" ht="18.75" customHeight="1" x14ac:dyDescent="0.3">
      <c r="A8" s="7" t="s">
        <v>49</v>
      </c>
      <c r="B8" s="8">
        <v>445</v>
      </c>
      <c r="C8" s="9">
        <v>0.31</v>
      </c>
      <c r="D8" s="4">
        <f t="shared" si="0"/>
        <v>137.94999999999999</v>
      </c>
    </row>
    <row r="9" spans="1:7" ht="18.75" customHeight="1" x14ac:dyDescent="0.3">
      <c r="A9" s="7" t="s">
        <v>50</v>
      </c>
      <c r="B9" s="8">
        <v>289</v>
      </c>
      <c r="C9" s="9">
        <v>0.25</v>
      </c>
      <c r="D9" s="4">
        <f t="shared" si="0"/>
        <v>72.25</v>
      </c>
    </row>
    <row r="10" spans="1:7" ht="18.75" customHeight="1" x14ac:dyDescent="0.3">
      <c r="A10" s="7" t="s">
        <v>51</v>
      </c>
      <c r="B10" s="8">
        <v>56</v>
      </c>
      <c r="C10" s="9">
        <v>0.3</v>
      </c>
      <c r="D10" s="4">
        <f t="shared" si="0"/>
        <v>16.8</v>
      </c>
    </row>
    <row r="11" spans="1:7" ht="18.75" customHeight="1" x14ac:dyDescent="0.3">
      <c r="A11" s="7" t="s">
        <v>52</v>
      </c>
      <c r="B11" s="8">
        <v>28</v>
      </c>
      <c r="C11" s="9">
        <v>0.23</v>
      </c>
      <c r="D11" s="4">
        <f t="shared" si="0"/>
        <v>6.44</v>
      </c>
    </row>
    <row r="12" spans="1:7" ht="18.75" customHeight="1" x14ac:dyDescent="0.3">
      <c r="A12" s="7" t="s">
        <v>53</v>
      </c>
      <c r="B12" s="8">
        <v>39</v>
      </c>
      <c r="C12" s="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35"/>
  <sheetViews>
    <sheetView topLeftCell="A19" workbookViewId="0">
      <selection activeCell="B1" sqref="B1"/>
    </sheetView>
  </sheetViews>
  <sheetFormatPr defaultRowHeight="14.4" x14ac:dyDescent="0.3"/>
  <cols>
    <col min="1" max="1" width="15.44140625" bestFit="1" customWidth="1"/>
    <col min="2" max="2" width="21.44140625" style="6" bestFit="1" customWidth="1"/>
    <col min="3" max="3" width="20.33203125" style="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t="s">
        <v>3</v>
      </c>
      <c r="B2" s="3">
        <v>621</v>
      </c>
      <c r="C2" s="45">
        <f>SUM(B2:B35)</f>
        <v>1807.7000000000005</v>
      </c>
    </row>
    <row r="3" spans="1:3" ht="18.75" customHeight="1" x14ac:dyDescent="0.3">
      <c r="A3" t="s">
        <v>4</v>
      </c>
      <c r="B3" s="3">
        <v>165</v>
      </c>
    </row>
    <row r="4" spans="1:3" ht="18.75" customHeight="1" x14ac:dyDescent="0.3">
      <c r="A4" t="s">
        <v>5</v>
      </c>
      <c r="B4" s="3">
        <v>150</v>
      </c>
    </row>
    <row r="5" spans="1:3" ht="18.75" customHeight="1" x14ac:dyDescent="0.3">
      <c r="A5" t="s">
        <v>6</v>
      </c>
      <c r="B5" s="3">
        <v>140</v>
      </c>
    </row>
    <row r="6" spans="1:3" ht="18.75" customHeight="1" x14ac:dyDescent="0.3">
      <c r="A6" t="s">
        <v>7</v>
      </c>
      <c r="B6" s="3">
        <v>126</v>
      </c>
    </row>
    <row r="7" spans="1:3" ht="18.75" customHeight="1" x14ac:dyDescent="0.3">
      <c r="A7" t="s">
        <v>8</v>
      </c>
      <c r="B7" s="3">
        <v>120</v>
      </c>
    </row>
    <row r="8" spans="1:3" ht="18.75" customHeight="1" x14ac:dyDescent="0.3">
      <c r="A8" t="s">
        <v>9</v>
      </c>
      <c r="B8" s="3">
        <v>84</v>
      </c>
    </row>
    <row r="9" spans="1:3" ht="18.75" customHeight="1" x14ac:dyDescent="0.3">
      <c r="A9" t="s">
        <v>10</v>
      </c>
      <c r="B9" s="3">
        <v>72</v>
      </c>
    </row>
    <row r="10" spans="1:3" ht="18.75" customHeight="1" x14ac:dyDescent="0.3">
      <c r="A10" t="s">
        <v>6</v>
      </c>
      <c r="B10" s="3">
        <v>50</v>
      </c>
    </row>
    <row r="11" spans="1:3" ht="18.75" customHeight="1" x14ac:dyDescent="0.3">
      <c r="A11" t="s">
        <v>11</v>
      </c>
      <c r="B11" s="4">
        <v>34.700000000000003</v>
      </c>
    </row>
    <row r="12" spans="1:3" ht="18.75" customHeight="1" x14ac:dyDescent="0.3">
      <c r="A12" t="s">
        <v>12</v>
      </c>
      <c r="B12" s="3">
        <v>30</v>
      </c>
    </row>
    <row r="13" spans="1:3" ht="18.75" customHeight="1" x14ac:dyDescent="0.3">
      <c r="A13" t="s">
        <v>13</v>
      </c>
      <c r="B13" s="4">
        <v>21.9</v>
      </c>
    </row>
    <row r="14" spans="1:3" ht="18.75" customHeight="1" x14ac:dyDescent="0.3">
      <c r="A14" t="s">
        <v>14</v>
      </c>
      <c r="B14" s="3">
        <v>21</v>
      </c>
    </row>
    <row r="15" spans="1:3" ht="18.75" customHeight="1" x14ac:dyDescent="0.3">
      <c r="A15" t="s">
        <v>15</v>
      </c>
      <c r="B15" s="4">
        <v>17.600000000000001</v>
      </c>
    </row>
    <row r="16" spans="1:3" ht="18.75" customHeight="1" x14ac:dyDescent="0.3">
      <c r="A16" t="s">
        <v>16</v>
      </c>
      <c r="B16" s="3">
        <v>15</v>
      </c>
    </row>
    <row r="17" spans="1:2" ht="18.75" customHeight="1" x14ac:dyDescent="0.3">
      <c r="A17" t="s">
        <v>17</v>
      </c>
      <c r="B17" s="4">
        <v>13.2</v>
      </c>
    </row>
    <row r="18" spans="1:2" ht="18.75" customHeight="1" x14ac:dyDescent="0.3">
      <c r="A18" t="s">
        <v>18</v>
      </c>
      <c r="B18" s="4">
        <v>11.4</v>
      </c>
    </row>
    <row r="19" spans="1:2" ht="18.75" customHeight="1" x14ac:dyDescent="0.3">
      <c r="A19" t="s">
        <v>19</v>
      </c>
      <c r="B19" s="4">
        <v>11.2</v>
      </c>
    </row>
    <row r="20" spans="1:2" ht="18.75" customHeight="1" x14ac:dyDescent="0.3">
      <c r="A20" t="s">
        <v>20</v>
      </c>
      <c r="B20" s="4">
        <v>11.2</v>
      </c>
    </row>
    <row r="21" spans="1:2" ht="18.75" customHeight="1" x14ac:dyDescent="0.3">
      <c r="A21" t="s">
        <v>21</v>
      </c>
      <c r="B21" s="4">
        <v>11.2</v>
      </c>
    </row>
    <row r="22" spans="1:2" ht="18.75" customHeight="1" x14ac:dyDescent="0.3">
      <c r="A22" t="s">
        <v>22</v>
      </c>
      <c r="B22" s="4">
        <v>10.7</v>
      </c>
    </row>
    <row r="23" spans="1:2" ht="18.75" customHeight="1" x14ac:dyDescent="0.3">
      <c r="A23" t="s">
        <v>23</v>
      </c>
      <c r="B23" s="3">
        <v>9</v>
      </c>
    </row>
    <row r="24" spans="1:2" ht="18.75" customHeight="1" x14ac:dyDescent="0.3">
      <c r="A24" t="s">
        <v>24</v>
      </c>
      <c r="B24" s="4">
        <v>8.8000000000000007</v>
      </c>
    </row>
    <row r="25" spans="1:2" ht="18.75" customHeight="1" x14ac:dyDescent="0.3">
      <c r="A25" t="s">
        <v>25</v>
      </c>
      <c r="B25" s="4">
        <v>7.6</v>
      </c>
    </row>
    <row r="26" spans="1:2" ht="18.75" customHeight="1" x14ac:dyDescent="0.3">
      <c r="A26" t="s">
        <v>26</v>
      </c>
      <c r="B26" s="3">
        <v>7</v>
      </c>
    </row>
    <row r="27" spans="1:2" ht="18.75" customHeight="1" x14ac:dyDescent="0.3">
      <c r="A27" t="s">
        <v>27</v>
      </c>
      <c r="B27" s="4">
        <v>6.7</v>
      </c>
    </row>
    <row r="28" spans="1:2" ht="18.75" customHeight="1" x14ac:dyDescent="0.3">
      <c r="A28" t="s">
        <v>28</v>
      </c>
      <c r="B28" s="4">
        <v>6.4</v>
      </c>
    </row>
    <row r="29" spans="1:2" ht="18.75" customHeight="1" x14ac:dyDescent="0.3">
      <c r="A29" t="s">
        <v>29</v>
      </c>
      <c r="B29" s="4">
        <v>6.4</v>
      </c>
    </row>
    <row r="30" spans="1:2" ht="18.75" customHeight="1" x14ac:dyDescent="0.3">
      <c r="A30" t="s">
        <v>30</v>
      </c>
      <c r="B30" s="4">
        <v>4.4000000000000004</v>
      </c>
    </row>
    <row r="31" spans="1:2" ht="18.75" customHeight="1" x14ac:dyDescent="0.3">
      <c r="A31" t="s">
        <v>31</v>
      </c>
      <c r="B31" s="3">
        <v>4</v>
      </c>
    </row>
    <row r="32" spans="1:2" ht="18.75" customHeight="1" x14ac:dyDescent="0.3">
      <c r="A32" t="s">
        <v>32</v>
      </c>
      <c r="B32" s="4">
        <v>3.6</v>
      </c>
    </row>
    <row r="33" spans="1:2" ht="18.75" customHeight="1" x14ac:dyDescent="0.3">
      <c r="A33" t="s">
        <v>33</v>
      </c>
      <c r="B33" s="3">
        <v>3</v>
      </c>
    </row>
    <row r="34" spans="1:2" ht="18.75" customHeight="1" x14ac:dyDescent="0.3">
      <c r="A34" t="s">
        <v>34</v>
      </c>
      <c r="B34" s="4">
        <v>2.2000000000000002</v>
      </c>
    </row>
    <row r="35" spans="1:2" ht="18.75" customHeight="1" x14ac:dyDescent="0.3">
      <c r="A35" t="s">
        <v>35</v>
      </c>
      <c r="B35" s="4">
        <v>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0EFFC-1771-45BD-A3EC-4BCB9782CF55}">
  <dimension ref="A1:G8"/>
  <sheetViews>
    <sheetView zoomScale="56" workbookViewId="0">
      <selection activeCell="G2" sqref="G2"/>
    </sheetView>
  </sheetViews>
  <sheetFormatPr defaultRowHeight="14.4" x14ac:dyDescent="0.3"/>
  <cols>
    <col min="1" max="1" width="30.109375" bestFit="1" customWidth="1"/>
    <col min="2" max="2" width="10.77734375" bestFit="1" customWidth="1"/>
    <col min="3" max="3" width="34.21875" bestFit="1" customWidth="1"/>
    <col min="4" max="4" width="124.33203125" customWidth="1"/>
    <col min="5" max="5" width="27.44140625" customWidth="1"/>
    <col min="6" max="6" width="48.21875" customWidth="1"/>
    <col min="7" max="7" width="10.44140625" bestFit="1" customWidth="1"/>
  </cols>
  <sheetData>
    <row r="1" spans="1:7" ht="18" x14ac:dyDescent="0.3">
      <c r="A1" s="38" t="s">
        <v>189</v>
      </c>
      <c r="B1" s="38" t="s">
        <v>186</v>
      </c>
      <c r="C1" s="38" t="s">
        <v>190</v>
      </c>
      <c r="D1" s="38" t="s">
        <v>191</v>
      </c>
      <c r="E1" s="38" t="s">
        <v>192</v>
      </c>
      <c r="F1" s="39" t="s">
        <v>193</v>
      </c>
      <c r="G1" s="40" t="s">
        <v>186</v>
      </c>
    </row>
    <row r="2" spans="1:7" ht="46.8" x14ac:dyDescent="0.3">
      <c r="A2" s="22" t="s">
        <v>125</v>
      </c>
      <c r="B2" s="41">
        <v>500</v>
      </c>
      <c r="C2" s="22" t="s">
        <v>126</v>
      </c>
      <c r="D2" s="23" t="s">
        <v>127</v>
      </c>
      <c r="E2" s="20">
        <v>2024</v>
      </c>
      <c r="F2" s="22" t="s">
        <v>128</v>
      </c>
      <c r="G2" s="46">
        <f>SUM(B2:B8)</f>
        <v>5400</v>
      </c>
    </row>
    <row r="3" spans="1:7" ht="93.6" x14ac:dyDescent="0.3">
      <c r="A3" s="22" t="s">
        <v>129</v>
      </c>
      <c r="B3" s="41">
        <v>1500</v>
      </c>
      <c r="C3" s="22" t="s">
        <v>130</v>
      </c>
      <c r="D3" s="23" t="s">
        <v>131</v>
      </c>
      <c r="E3" s="20">
        <v>2026</v>
      </c>
      <c r="F3" s="22" t="s">
        <v>132</v>
      </c>
      <c r="G3" s="37"/>
    </row>
    <row r="4" spans="1:7" ht="31.2" x14ac:dyDescent="0.3">
      <c r="A4" s="22" t="s">
        <v>133</v>
      </c>
      <c r="B4" s="42">
        <v>100</v>
      </c>
      <c r="C4" s="22" t="s">
        <v>134</v>
      </c>
      <c r="D4" s="22" t="s">
        <v>131</v>
      </c>
      <c r="E4" s="21"/>
      <c r="F4" s="21"/>
      <c r="G4" s="37"/>
    </row>
    <row r="5" spans="1:7" ht="31.2" x14ac:dyDescent="0.3">
      <c r="A5" s="21" t="s">
        <v>135</v>
      </c>
      <c r="B5" s="41">
        <v>1000</v>
      </c>
      <c r="C5" s="21" t="s">
        <v>136</v>
      </c>
      <c r="D5" s="22" t="s">
        <v>131</v>
      </c>
      <c r="E5" s="21"/>
      <c r="F5" s="21"/>
      <c r="G5" s="37"/>
    </row>
    <row r="6" spans="1:7" ht="15.6" x14ac:dyDescent="0.3">
      <c r="A6" s="21" t="s">
        <v>137</v>
      </c>
      <c r="B6" s="42">
        <v>1000</v>
      </c>
      <c r="C6" s="21" t="s">
        <v>137</v>
      </c>
      <c r="D6" s="24" t="s">
        <v>138</v>
      </c>
      <c r="E6" s="20">
        <v>2030</v>
      </c>
      <c r="F6" s="21"/>
      <c r="G6" s="37"/>
    </row>
    <row r="7" spans="1:7" ht="15.6" x14ac:dyDescent="0.3">
      <c r="A7" s="21" t="s">
        <v>144</v>
      </c>
      <c r="B7" s="42">
        <v>300</v>
      </c>
      <c r="C7" s="21" t="s">
        <v>136</v>
      </c>
      <c r="D7" s="24" t="s">
        <v>139</v>
      </c>
      <c r="E7" s="20" t="s">
        <v>140</v>
      </c>
      <c r="F7" s="21"/>
      <c r="G7" s="37"/>
    </row>
    <row r="8" spans="1:7" ht="15.6" x14ac:dyDescent="0.3">
      <c r="A8" s="21" t="s">
        <v>141</v>
      </c>
      <c r="B8" s="42">
        <v>1000</v>
      </c>
      <c r="C8" s="21" t="s">
        <v>142</v>
      </c>
      <c r="D8" s="22" t="s">
        <v>143</v>
      </c>
      <c r="E8" s="21"/>
      <c r="F8" s="25"/>
    </row>
  </sheetData>
  <hyperlinks>
    <hyperlink ref="D2" r:id="rId1" display="https://www.adb.org/multimedia/partnership-report2022/stories/building-central-asias-biggest-wind-farm/?form=MG0AV3" xr:uid="{C4EB56D0-68B4-49EB-AA43-EEE3732E18A9}"/>
    <hyperlink ref="D6" r:id="rId2" display="https://masdar.ae/en/news/newsroom/masdar-signs-agreement-to-develop-1gw-mingbulak-wind-farm-in-uzbekistan" xr:uid="{03807BF9-44AB-42B2-9383-2CC7AA7BAF37}"/>
    <hyperlink ref="D3" r:id="rId3" xr:uid="{893753C9-F668-4064-AD6B-0BF9EA52BEE6}"/>
    <hyperlink ref="D7" r:id="rId4" display="https://kun.uz/en/news/2024/03/07/acwa-power-to-build-two-more-wind-power-plants-in-uzbekistan?utm_source=chatgpt.com" xr:uid="{0F616784-66C9-436D-A3A5-308722BDF31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4809-739C-41C4-9686-AE912CF8AA2B}">
  <dimension ref="A1:L35"/>
  <sheetViews>
    <sheetView topLeftCell="D1" workbookViewId="0">
      <selection activeCell="L2" sqref="L2"/>
    </sheetView>
  </sheetViews>
  <sheetFormatPr defaultRowHeight="14.4" x14ac:dyDescent="0.3"/>
  <cols>
    <col min="1" max="1" width="7.21875" bestFit="1" customWidth="1"/>
    <col min="2" max="2" width="11.6640625" bestFit="1" customWidth="1"/>
    <col min="3" max="3" width="21.109375" bestFit="1" customWidth="1"/>
    <col min="4" max="4" width="11.77734375" bestFit="1" customWidth="1"/>
    <col min="5" max="6" width="10" bestFit="1" customWidth="1"/>
    <col min="7" max="7" width="11.33203125" bestFit="1" customWidth="1"/>
    <col min="8" max="8" width="18.6640625" bestFit="1" customWidth="1"/>
    <col min="9" max="9" width="9" bestFit="1" customWidth="1"/>
    <col min="10" max="10" width="49.109375" bestFit="1" customWidth="1"/>
    <col min="11" max="11" width="19.5546875" bestFit="1" customWidth="1"/>
    <col min="12" max="12" width="12.6640625" bestFit="1" customWidth="1"/>
  </cols>
  <sheetData>
    <row r="1" spans="1:12" x14ac:dyDescent="0.3">
      <c r="A1" s="44" t="s">
        <v>202</v>
      </c>
      <c r="B1" s="44" t="s">
        <v>201</v>
      </c>
      <c r="C1" s="44" t="s">
        <v>189</v>
      </c>
      <c r="D1" s="44" t="s">
        <v>200</v>
      </c>
      <c r="E1" s="44" t="s">
        <v>199</v>
      </c>
      <c r="F1" s="44" t="s">
        <v>198</v>
      </c>
      <c r="G1" s="44" t="s">
        <v>197</v>
      </c>
      <c r="H1" s="44" t="s">
        <v>196</v>
      </c>
      <c r="I1" s="44" t="s">
        <v>191</v>
      </c>
      <c r="J1" s="44" t="s">
        <v>195</v>
      </c>
      <c r="K1" s="44" t="s">
        <v>194</v>
      </c>
      <c r="L1" s="43" t="s">
        <v>187</v>
      </c>
    </row>
    <row r="2" spans="1:12" x14ac:dyDescent="0.3">
      <c r="A2" s="26" t="s">
        <v>145</v>
      </c>
      <c r="B2" s="26" t="s">
        <v>146</v>
      </c>
      <c r="C2" s="26" t="s">
        <v>147</v>
      </c>
      <c r="D2" s="26">
        <v>3050</v>
      </c>
      <c r="E2" s="26">
        <v>40.229621999999999</v>
      </c>
      <c r="F2" s="26">
        <v>69.099801999999997</v>
      </c>
      <c r="G2" s="26" t="s">
        <v>60</v>
      </c>
      <c r="H2" s="26">
        <v>1972</v>
      </c>
      <c r="I2" s="26" t="s">
        <v>148</v>
      </c>
      <c r="J2" s="26" t="s">
        <v>149</v>
      </c>
      <c r="K2" s="19" t="s">
        <v>150</v>
      </c>
      <c r="L2" s="47">
        <f>SUM(D2:D35)</f>
        <v>17287</v>
      </c>
    </row>
    <row r="3" spans="1:12" x14ac:dyDescent="0.3">
      <c r="A3" s="26" t="s">
        <v>145</v>
      </c>
      <c r="B3" s="26" t="s">
        <v>146</v>
      </c>
      <c r="C3" s="26" t="s">
        <v>151</v>
      </c>
      <c r="D3" s="26">
        <v>2100</v>
      </c>
      <c r="E3" s="26">
        <v>40.923299999999998</v>
      </c>
      <c r="F3" s="26">
        <v>69.817400000000006</v>
      </c>
      <c r="G3" s="26" t="s">
        <v>152</v>
      </c>
      <c r="H3" s="26">
        <v>1985</v>
      </c>
      <c r="I3" s="26" t="s">
        <v>148</v>
      </c>
      <c r="J3" s="26" t="s">
        <v>149</v>
      </c>
      <c r="K3" s="26" t="s">
        <v>150</v>
      </c>
    </row>
    <row r="4" spans="1:12" x14ac:dyDescent="0.3">
      <c r="A4" s="26" t="s">
        <v>145</v>
      </c>
      <c r="B4" s="26" t="s">
        <v>146</v>
      </c>
      <c r="C4" s="26" t="s">
        <v>153</v>
      </c>
      <c r="D4" s="26">
        <v>2230</v>
      </c>
      <c r="E4" s="26">
        <v>41.379600000000003</v>
      </c>
      <c r="F4" s="26">
        <v>69.370216999999997</v>
      </c>
      <c r="G4" s="26" t="s">
        <v>60</v>
      </c>
      <c r="H4" s="26">
        <v>1963</v>
      </c>
      <c r="I4" s="26" t="s">
        <v>148</v>
      </c>
      <c r="J4" s="26" t="s">
        <v>149</v>
      </c>
      <c r="K4" s="26" t="s">
        <v>150</v>
      </c>
    </row>
    <row r="5" spans="1:12" x14ac:dyDescent="0.3">
      <c r="A5" s="26" t="s">
        <v>145</v>
      </c>
      <c r="B5" s="26" t="s">
        <v>146</v>
      </c>
      <c r="C5" s="26" t="s">
        <v>154</v>
      </c>
      <c r="D5" s="26">
        <v>1618</v>
      </c>
      <c r="E5" s="26">
        <v>40.158459000000001</v>
      </c>
      <c r="F5" s="26">
        <v>65.311909</v>
      </c>
      <c r="G5" s="26" t="s">
        <v>60</v>
      </c>
      <c r="H5" s="26">
        <v>1963</v>
      </c>
      <c r="I5" s="26" t="s">
        <v>148</v>
      </c>
      <c r="J5" s="26" t="s">
        <v>149</v>
      </c>
      <c r="K5" s="26" t="s">
        <v>150</v>
      </c>
    </row>
    <row r="6" spans="1:12" x14ac:dyDescent="0.3">
      <c r="A6" s="26" t="s">
        <v>145</v>
      </c>
      <c r="B6" s="26" t="s">
        <v>146</v>
      </c>
      <c r="C6" s="26" t="s">
        <v>155</v>
      </c>
      <c r="D6" s="26">
        <v>1700</v>
      </c>
      <c r="E6" s="26">
        <v>38.481231999999999</v>
      </c>
      <c r="F6" s="26">
        <v>65.629769999999994</v>
      </c>
      <c r="G6" s="26" t="s">
        <v>60</v>
      </c>
      <c r="H6" s="26">
        <v>2004</v>
      </c>
      <c r="I6" s="26" t="s">
        <v>148</v>
      </c>
      <c r="J6" s="26" t="s">
        <v>149</v>
      </c>
      <c r="K6" s="26" t="s">
        <v>150</v>
      </c>
    </row>
    <row r="7" spans="1:12" x14ac:dyDescent="0.3">
      <c r="A7" s="26" t="s">
        <v>145</v>
      </c>
      <c r="B7" s="26" t="s">
        <v>146</v>
      </c>
      <c r="C7" s="26" t="s">
        <v>156</v>
      </c>
      <c r="D7" s="26">
        <v>730</v>
      </c>
      <c r="E7" s="26">
        <v>42.315235999999999</v>
      </c>
      <c r="F7" s="26">
        <v>59.554755999999998</v>
      </c>
      <c r="G7" s="26" t="s">
        <v>60</v>
      </c>
      <c r="H7" s="26">
        <v>1962</v>
      </c>
      <c r="I7" s="26" t="s">
        <v>148</v>
      </c>
      <c r="J7" s="26" t="s">
        <v>149</v>
      </c>
      <c r="K7" s="26" t="s">
        <v>150</v>
      </c>
    </row>
    <row r="8" spans="1:12" x14ac:dyDescent="0.3">
      <c r="A8" s="26" t="s">
        <v>145</v>
      </c>
      <c r="B8" s="26" t="s">
        <v>146</v>
      </c>
      <c r="C8" s="26" t="s">
        <v>157</v>
      </c>
      <c r="D8" s="26">
        <v>305</v>
      </c>
      <c r="E8" s="26">
        <v>40.449089000000001</v>
      </c>
      <c r="F8" s="26">
        <v>71.781868000000003</v>
      </c>
      <c r="G8" s="26" t="s">
        <v>60</v>
      </c>
      <c r="H8" s="26"/>
      <c r="I8" s="26" t="s">
        <v>148</v>
      </c>
      <c r="J8" s="26" t="s">
        <v>149</v>
      </c>
      <c r="K8" s="26" t="s">
        <v>150</v>
      </c>
    </row>
    <row r="9" spans="1:12" x14ac:dyDescent="0.3">
      <c r="A9" s="26" t="s">
        <v>145</v>
      </c>
      <c r="B9" s="26" t="s">
        <v>146</v>
      </c>
      <c r="C9" s="26" t="s">
        <v>158</v>
      </c>
      <c r="D9" s="26">
        <v>900</v>
      </c>
      <c r="E9" s="26">
        <v>40.997051999999996</v>
      </c>
      <c r="F9" s="26">
        <v>71.458275999999998</v>
      </c>
      <c r="G9" s="26" t="s">
        <v>60</v>
      </c>
      <c r="H9" s="26"/>
      <c r="I9" s="26" t="s">
        <v>148</v>
      </c>
      <c r="J9" s="26" t="s">
        <v>149</v>
      </c>
      <c r="K9" s="26" t="s">
        <v>150</v>
      </c>
    </row>
    <row r="10" spans="1:12" x14ac:dyDescent="0.3">
      <c r="A10" s="26" t="s">
        <v>145</v>
      </c>
      <c r="B10" s="26" t="s">
        <v>146</v>
      </c>
      <c r="C10" s="26" t="s">
        <v>159</v>
      </c>
      <c r="D10" s="26">
        <v>634</v>
      </c>
      <c r="E10" s="26">
        <v>41.004897</v>
      </c>
      <c r="F10" s="26">
        <v>70.122799000000001</v>
      </c>
      <c r="G10" s="26" t="s">
        <v>152</v>
      </c>
      <c r="H10" s="26">
        <v>1957</v>
      </c>
      <c r="I10" s="26" t="s">
        <v>148</v>
      </c>
      <c r="J10" s="26" t="s">
        <v>149</v>
      </c>
      <c r="K10" s="26" t="s">
        <v>150</v>
      </c>
    </row>
    <row r="11" spans="1:12" x14ac:dyDescent="0.3">
      <c r="A11" s="26" t="s">
        <v>145</v>
      </c>
      <c r="B11" s="26" t="s">
        <v>146</v>
      </c>
      <c r="C11" s="26" t="s">
        <v>5</v>
      </c>
      <c r="D11" s="26">
        <v>150</v>
      </c>
      <c r="E11" s="26">
        <v>41.213200000000001</v>
      </c>
      <c r="F11" s="26">
        <v>61.4054</v>
      </c>
      <c r="G11" s="26" t="s">
        <v>160</v>
      </c>
      <c r="H11" s="26">
        <v>1983</v>
      </c>
      <c r="I11" s="26" t="s">
        <v>148</v>
      </c>
      <c r="J11" s="26" t="s">
        <v>149</v>
      </c>
      <c r="K11" s="26" t="s">
        <v>150</v>
      </c>
    </row>
    <row r="12" spans="1:12" x14ac:dyDescent="0.3">
      <c r="A12" s="26" t="s">
        <v>145</v>
      </c>
      <c r="B12" s="26" t="s">
        <v>146</v>
      </c>
      <c r="C12" s="26" t="s">
        <v>3</v>
      </c>
      <c r="D12" s="26">
        <v>666</v>
      </c>
      <c r="E12" s="26">
        <v>41.627000000000002</v>
      </c>
      <c r="F12" s="26">
        <v>69.968999999999994</v>
      </c>
      <c r="G12" s="26" t="s">
        <v>160</v>
      </c>
      <c r="H12" s="26">
        <v>1970</v>
      </c>
      <c r="I12" s="26" t="s">
        <v>148</v>
      </c>
      <c r="J12" s="26" t="s">
        <v>149</v>
      </c>
      <c r="K12" s="26" t="s">
        <v>150</v>
      </c>
    </row>
    <row r="13" spans="1:12" x14ac:dyDescent="0.3">
      <c r="A13" s="26" t="s">
        <v>145</v>
      </c>
      <c r="B13" s="26" t="s">
        <v>146</v>
      </c>
      <c r="C13" s="26" t="s">
        <v>161</v>
      </c>
      <c r="D13" s="26">
        <v>175</v>
      </c>
      <c r="E13" s="26">
        <v>38.578600000000002</v>
      </c>
      <c r="F13" s="26">
        <v>67.800799999999995</v>
      </c>
      <c r="G13" s="26" t="s">
        <v>160</v>
      </c>
      <c r="H13" s="26"/>
      <c r="I13" s="26" t="s">
        <v>148</v>
      </c>
      <c r="J13" s="26" t="s">
        <v>149</v>
      </c>
      <c r="K13" s="26" t="s">
        <v>150</v>
      </c>
    </row>
    <row r="14" spans="1:12" x14ac:dyDescent="0.3">
      <c r="A14" s="26" t="s">
        <v>145</v>
      </c>
      <c r="B14" s="26" t="s">
        <v>146</v>
      </c>
      <c r="C14" s="26" t="s">
        <v>162</v>
      </c>
      <c r="D14" s="26">
        <v>190</v>
      </c>
      <c r="E14" s="26">
        <v>40.770200000000003</v>
      </c>
      <c r="F14" s="26">
        <v>73.062600000000003</v>
      </c>
      <c r="G14" s="26" t="s">
        <v>160</v>
      </c>
      <c r="H14" s="26">
        <v>1983</v>
      </c>
      <c r="I14" s="26" t="s">
        <v>148</v>
      </c>
      <c r="J14" s="26" t="s">
        <v>149</v>
      </c>
      <c r="K14" s="26" t="s">
        <v>150</v>
      </c>
    </row>
    <row r="15" spans="1:12" x14ac:dyDescent="0.3">
      <c r="A15" s="26" t="s">
        <v>145</v>
      </c>
      <c r="B15" s="26" t="s">
        <v>146</v>
      </c>
      <c r="C15" s="26" t="s">
        <v>163</v>
      </c>
      <c r="D15" s="26">
        <v>126</v>
      </c>
      <c r="E15" s="26">
        <v>40.1935</v>
      </c>
      <c r="F15" s="26">
        <v>69.305300000000003</v>
      </c>
      <c r="G15" s="26" t="s">
        <v>160</v>
      </c>
      <c r="H15" s="26">
        <v>1948</v>
      </c>
      <c r="I15" s="26" t="s">
        <v>148</v>
      </c>
      <c r="J15" s="26" t="s">
        <v>149</v>
      </c>
      <c r="K15" s="26" t="s">
        <v>150</v>
      </c>
    </row>
    <row r="16" spans="1:12" x14ac:dyDescent="0.3">
      <c r="A16" s="26" t="s">
        <v>145</v>
      </c>
      <c r="B16" s="26" t="s">
        <v>146</v>
      </c>
      <c r="C16" s="26" t="s">
        <v>164</v>
      </c>
      <c r="D16" s="26">
        <v>27</v>
      </c>
      <c r="E16" s="26">
        <v>41.174964000000003</v>
      </c>
      <c r="F16" s="26">
        <v>70.481093000000001</v>
      </c>
      <c r="G16" s="26" t="s">
        <v>160</v>
      </c>
      <c r="H16" s="26"/>
      <c r="I16" s="26" t="s">
        <v>148</v>
      </c>
      <c r="J16" s="26" t="s">
        <v>149</v>
      </c>
      <c r="K16" s="26" t="s">
        <v>150</v>
      </c>
    </row>
    <row r="17" spans="1:11" x14ac:dyDescent="0.3">
      <c r="A17" s="26" t="s">
        <v>145</v>
      </c>
      <c r="B17" s="26" t="s">
        <v>146</v>
      </c>
      <c r="C17" s="26" t="s">
        <v>165</v>
      </c>
      <c r="D17" s="26">
        <v>165</v>
      </c>
      <c r="E17" s="26">
        <v>41.598999999999997</v>
      </c>
      <c r="F17" s="26">
        <v>69.864400000000003</v>
      </c>
      <c r="G17" s="26" t="s">
        <v>160</v>
      </c>
      <c r="H17" s="26">
        <v>1975</v>
      </c>
      <c r="I17" s="26" t="s">
        <v>148</v>
      </c>
      <c r="J17" s="26" t="s">
        <v>149</v>
      </c>
      <c r="K17" s="26" t="s">
        <v>150</v>
      </c>
    </row>
    <row r="18" spans="1:11" x14ac:dyDescent="0.3">
      <c r="A18" s="26" t="s">
        <v>145</v>
      </c>
      <c r="B18" s="26" t="s">
        <v>146</v>
      </c>
      <c r="C18" s="26" t="s">
        <v>166</v>
      </c>
      <c r="D18" s="26">
        <v>120</v>
      </c>
      <c r="E18" s="26">
        <v>41.578699999999998</v>
      </c>
      <c r="F18" s="26">
        <v>69.801500000000004</v>
      </c>
      <c r="G18" s="26" t="s">
        <v>160</v>
      </c>
      <c r="H18" s="26">
        <v>1980</v>
      </c>
      <c r="I18" s="26" t="s">
        <v>148</v>
      </c>
      <c r="J18" s="26" t="s">
        <v>149</v>
      </c>
      <c r="K18" s="26" t="s">
        <v>150</v>
      </c>
    </row>
    <row r="19" spans="1:11" x14ac:dyDescent="0.3">
      <c r="A19" s="26" t="s">
        <v>145</v>
      </c>
      <c r="B19" s="26" t="s">
        <v>146</v>
      </c>
      <c r="C19" s="26" t="s">
        <v>167</v>
      </c>
      <c r="D19" s="26">
        <v>11</v>
      </c>
      <c r="E19" s="26">
        <v>41</v>
      </c>
      <c r="F19" s="26">
        <v>69.302222</v>
      </c>
      <c r="G19" s="26" t="s">
        <v>160</v>
      </c>
      <c r="H19" s="26">
        <v>2019</v>
      </c>
      <c r="I19" s="26" t="s">
        <v>148</v>
      </c>
      <c r="J19" s="26" t="s">
        <v>149</v>
      </c>
      <c r="K19" s="26" t="s">
        <v>150</v>
      </c>
    </row>
    <row r="20" spans="1:11" x14ac:dyDescent="0.3">
      <c r="A20" s="26" t="s">
        <v>145</v>
      </c>
      <c r="B20" s="26" t="s">
        <v>146</v>
      </c>
      <c r="C20" s="26" t="s">
        <v>168</v>
      </c>
      <c r="D20" s="26">
        <v>15</v>
      </c>
      <c r="E20" s="26">
        <v>41.468888999999997</v>
      </c>
      <c r="F20" s="26">
        <v>69.582222000000002</v>
      </c>
      <c r="G20" s="26" t="s">
        <v>160</v>
      </c>
      <c r="H20" s="26">
        <v>1944</v>
      </c>
      <c r="I20" s="26" t="s">
        <v>148</v>
      </c>
      <c r="J20" s="26" t="s">
        <v>149</v>
      </c>
      <c r="K20" s="26" t="s">
        <v>150</v>
      </c>
    </row>
    <row r="21" spans="1:11" x14ac:dyDescent="0.3">
      <c r="A21" s="26" t="s">
        <v>145</v>
      </c>
      <c r="B21" s="26" t="s">
        <v>146</v>
      </c>
      <c r="C21" s="26" t="s">
        <v>169</v>
      </c>
      <c r="D21" s="26">
        <v>7</v>
      </c>
      <c r="E21" s="26">
        <v>41.468888999999997</v>
      </c>
      <c r="F21" s="26">
        <v>69.582222000000002</v>
      </c>
      <c r="G21" s="26" t="s">
        <v>160</v>
      </c>
      <c r="H21" s="26">
        <v>1950</v>
      </c>
      <c r="I21" s="26" t="s">
        <v>148</v>
      </c>
      <c r="J21" s="26" t="s">
        <v>149</v>
      </c>
      <c r="K21" s="26" t="s">
        <v>150</v>
      </c>
    </row>
    <row r="22" spans="1:11" x14ac:dyDescent="0.3">
      <c r="A22" s="26" t="s">
        <v>145</v>
      </c>
      <c r="B22" s="26" t="s">
        <v>146</v>
      </c>
      <c r="C22" s="26" t="s">
        <v>170</v>
      </c>
      <c r="D22" s="26">
        <v>11</v>
      </c>
      <c r="E22" s="26">
        <v>41.468888999999997</v>
      </c>
      <c r="F22" s="26">
        <v>69.582222000000002</v>
      </c>
      <c r="G22" s="26" t="s">
        <v>160</v>
      </c>
      <c r="H22" s="26">
        <v>1950</v>
      </c>
      <c r="I22" s="26" t="s">
        <v>148</v>
      </c>
      <c r="J22" s="26" t="s">
        <v>149</v>
      </c>
      <c r="K22" s="26" t="s">
        <v>150</v>
      </c>
    </row>
    <row r="23" spans="1:11" x14ac:dyDescent="0.3">
      <c r="A23" s="26" t="s">
        <v>145</v>
      </c>
      <c r="B23" s="26" t="s">
        <v>146</v>
      </c>
      <c r="C23" s="26" t="s">
        <v>171</v>
      </c>
      <c r="D23" s="26">
        <v>38</v>
      </c>
      <c r="E23" s="26">
        <v>38.697040000000001</v>
      </c>
      <c r="F23" s="26">
        <v>67.722130000000007</v>
      </c>
      <c r="G23" s="26" t="s">
        <v>160</v>
      </c>
      <c r="H23" s="26">
        <v>2021</v>
      </c>
      <c r="I23" s="26" t="s">
        <v>148</v>
      </c>
      <c r="J23" s="26" t="s">
        <v>149</v>
      </c>
      <c r="K23" s="26" t="s">
        <v>150</v>
      </c>
    </row>
    <row r="24" spans="1:11" x14ac:dyDescent="0.3">
      <c r="A24" s="26" t="s">
        <v>145</v>
      </c>
      <c r="B24" s="26" t="s">
        <v>146</v>
      </c>
      <c r="C24" s="26" t="s">
        <v>172</v>
      </c>
      <c r="D24" s="26">
        <v>37</v>
      </c>
      <c r="E24" s="26">
        <v>38.697040000000001</v>
      </c>
      <c r="F24" s="26">
        <v>67.722130000000007</v>
      </c>
      <c r="G24" s="26" t="s">
        <v>160</v>
      </c>
      <c r="H24" s="26">
        <v>2021</v>
      </c>
      <c r="I24" s="26" t="s">
        <v>148</v>
      </c>
      <c r="J24" s="26" t="s">
        <v>149</v>
      </c>
      <c r="K24" s="26" t="s">
        <v>150</v>
      </c>
    </row>
    <row r="25" spans="1:11" x14ac:dyDescent="0.3">
      <c r="A25" s="26" t="s">
        <v>145</v>
      </c>
      <c r="B25" s="26" t="s">
        <v>146</v>
      </c>
      <c r="C25" s="26" t="s">
        <v>173</v>
      </c>
      <c r="D25" s="26">
        <v>18</v>
      </c>
      <c r="E25" s="26">
        <v>41.468888999999997</v>
      </c>
      <c r="F25" s="26">
        <v>69.582222000000002</v>
      </c>
      <c r="G25" s="26" t="s">
        <v>160</v>
      </c>
      <c r="H25" s="26">
        <v>1954</v>
      </c>
      <c r="I25" s="26" t="s">
        <v>148</v>
      </c>
      <c r="J25" s="26" t="s">
        <v>149</v>
      </c>
      <c r="K25" s="26" t="s">
        <v>150</v>
      </c>
    </row>
    <row r="26" spans="1:11" x14ac:dyDescent="0.3">
      <c r="A26" s="26" t="s">
        <v>145</v>
      </c>
      <c r="B26" s="26" t="s">
        <v>146</v>
      </c>
      <c r="C26" s="26" t="s">
        <v>174</v>
      </c>
      <c r="D26" s="26">
        <v>4</v>
      </c>
      <c r="E26" s="26">
        <v>41.468888999999997</v>
      </c>
      <c r="F26" s="26">
        <v>69.582222000000002</v>
      </c>
      <c r="G26" s="26" t="s">
        <v>160</v>
      </c>
      <c r="H26" s="26">
        <v>1954</v>
      </c>
      <c r="I26" s="26" t="s">
        <v>148</v>
      </c>
      <c r="J26" s="26" t="s">
        <v>149</v>
      </c>
      <c r="K26" s="26" t="s">
        <v>150</v>
      </c>
    </row>
    <row r="27" spans="1:11" x14ac:dyDescent="0.3">
      <c r="A27" s="26" t="s">
        <v>145</v>
      </c>
      <c r="B27" s="26" t="s">
        <v>146</v>
      </c>
      <c r="C27" s="26" t="s">
        <v>175</v>
      </c>
      <c r="D27" s="26">
        <v>100</v>
      </c>
      <c r="E27" s="26">
        <v>40.115900000000003</v>
      </c>
      <c r="F27" s="26">
        <v>64.988600000000005</v>
      </c>
      <c r="G27" s="26" t="s">
        <v>176</v>
      </c>
      <c r="H27" s="26">
        <v>2021</v>
      </c>
      <c r="I27" s="26" t="s">
        <v>148</v>
      </c>
      <c r="J27" s="26" t="s">
        <v>149</v>
      </c>
      <c r="K27" s="26" t="s">
        <v>150</v>
      </c>
    </row>
    <row r="28" spans="1:11" x14ac:dyDescent="0.3">
      <c r="A28" s="26" t="s">
        <v>145</v>
      </c>
      <c r="B28" s="26" t="s">
        <v>146</v>
      </c>
      <c r="C28" s="26" t="s">
        <v>177</v>
      </c>
      <c r="D28" s="26">
        <v>100</v>
      </c>
      <c r="E28" s="26">
        <v>39.630800000000001</v>
      </c>
      <c r="F28" s="26">
        <v>66.058099999999996</v>
      </c>
      <c r="G28" s="26" t="s">
        <v>176</v>
      </c>
      <c r="H28" s="26">
        <v>2022</v>
      </c>
      <c r="I28" s="26" t="s">
        <v>148</v>
      </c>
      <c r="J28" s="26" t="s">
        <v>149</v>
      </c>
      <c r="K28" s="26" t="s">
        <v>150</v>
      </c>
    </row>
    <row r="29" spans="1:11" x14ac:dyDescent="0.3">
      <c r="A29" s="26" t="s">
        <v>145</v>
      </c>
      <c r="B29" s="26" t="s">
        <v>146</v>
      </c>
      <c r="C29" s="26" t="s">
        <v>178</v>
      </c>
      <c r="D29" s="26">
        <v>220</v>
      </c>
      <c r="E29" s="26">
        <v>39.860700000000001</v>
      </c>
      <c r="F29" s="26">
        <v>66.446399999999997</v>
      </c>
      <c r="G29" s="26" t="s">
        <v>176</v>
      </c>
      <c r="H29" s="26">
        <v>2024</v>
      </c>
      <c r="I29" s="26" t="s">
        <v>148</v>
      </c>
      <c r="J29" s="26" t="s">
        <v>179</v>
      </c>
      <c r="K29" s="26" t="s">
        <v>150</v>
      </c>
    </row>
    <row r="30" spans="1:11" x14ac:dyDescent="0.3">
      <c r="A30" s="26" t="s">
        <v>145</v>
      </c>
      <c r="B30" s="26" t="s">
        <v>146</v>
      </c>
      <c r="C30" s="26" t="s">
        <v>180</v>
      </c>
      <c r="D30" s="26">
        <v>20</v>
      </c>
      <c r="E30" s="26">
        <v>41.3489</v>
      </c>
      <c r="F30" s="26">
        <v>69.493399999999994</v>
      </c>
      <c r="G30" s="26" t="s">
        <v>176</v>
      </c>
      <c r="H30" s="26">
        <v>2023</v>
      </c>
      <c r="I30" s="26" t="s">
        <v>148</v>
      </c>
      <c r="J30" s="26" t="s">
        <v>179</v>
      </c>
      <c r="K30" s="26" t="s">
        <v>150</v>
      </c>
    </row>
    <row r="31" spans="1:11" x14ac:dyDescent="0.3">
      <c r="A31" s="26" t="s">
        <v>145</v>
      </c>
      <c r="B31" s="26" t="s">
        <v>146</v>
      </c>
      <c r="C31" s="26" t="s">
        <v>181</v>
      </c>
      <c r="D31" s="26">
        <v>200</v>
      </c>
      <c r="E31" s="26">
        <v>40.873609999999999</v>
      </c>
      <c r="F31" s="26">
        <v>71.108890000000002</v>
      </c>
      <c r="G31" s="26" t="s">
        <v>176</v>
      </c>
      <c r="H31" s="26">
        <v>2024</v>
      </c>
      <c r="I31" s="26" t="s">
        <v>148</v>
      </c>
      <c r="J31" s="26" t="s">
        <v>179</v>
      </c>
      <c r="K31" s="26" t="s">
        <v>150</v>
      </c>
    </row>
    <row r="32" spans="1:11" x14ac:dyDescent="0.3">
      <c r="A32" s="26" t="s">
        <v>145</v>
      </c>
      <c r="B32" s="26" t="s">
        <v>146</v>
      </c>
      <c r="C32" s="26" t="s">
        <v>182</v>
      </c>
      <c r="D32" s="26">
        <v>500</v>
      </c>
      <c r="E32" s="26">
        <v>39.455599999999997</v>
      </c>
      <c r="F32" s="26">
        <v>64.703800000000001</v>
      </c>
      <c r="G32" s="26" t="s">
        <v>176</v>
      </c>
      <c r="H32" s="26">
        <v>2024</v>
      </c>
      <c r="I32" s="26" t="s">
        <v>148</v>
      </c>
      <c r="J32" s="26" t="s">
        <v>179</v>
      </c>
      <c r="K32" s="26" t="s">
        <v>150</v>
      </c>
    </row>
    <row r="33" spans="1:11" x14ac:dyDescent="0.3">
      <c r="A33" s="26" t="s">
        <v>145</v>
      </c>
      <c r="B33" s="26" t="s">
        <v>146</v>
      </c>
      <c r="C33" s="26" t="s">
        <v>183</v>
      </c>
      <c r="D33" s="26">
        <v>400</v>
      </c>
      <c r="E33" s="26">
        <v>41.190800000000003</v>
      </c>
      <c r="F33" s="26">
        <v>69.5261</v>
      </c>
      <c r="G33" s="26" t="s">
        <v>176</v>
      </c>
      <c r="H33" s="26">
        <v>2024</v>
      </c>
      <c r="I33" s="26" t="s">
        <v>148</v>
      </c>
      <c r="J33" s="26" t="s">
        <v>179</v>
      </c>
      <c r="K33" s="26" t="s">
        <v>150</v>
      </c>
    </row>
    <row r="34" spans="1:11" x14ac:dyDescent="0.3">
      <c r="A34" s="26" t="s">
        <v>145</v>
      </c>
      <c r="B34" s="26" t="s">
        <v>146</v>
      </c>
      <c r="C34" s="26" t="s">
        <v>184</v>
      </c>
      <c r="D34" s="26">
        <v>220</v>
      </c>
      <c r="E34" s="26">
        <v>40.139000000000003</v>
      </c>
      <c r="F34" s="26">
        <v>67.5124</v>
      </c>
      <c r="G34" s="26" t="s">
        <v>176</v>
      </c>
      <c r="H34" s="26">
        <v>2024</v>
      </c>
      <c r="I34" s="26" t="s">
        <v>148</v>
      </c>
      <c r="J34" s="26" t="s">
        <v>179</v>
      </c>
      <c r="K34" s="26" t="s">
        <v>150</v>
      </c>
    </row>
    <row r="35" spans="1:11" x14ac:dyDescent="0.3">
      <c r="A35" s="26" t="s">
        <v>145</v>
      </c>
      <c r="B35" s="26" t="s">
        <v>146</v>
      </c>
      <c r="C35" s="26" t="s">
        <v>185</v>
      </c>
      <c r="D35" s="26">
        <v>500</v>
      </c>
      <c r="E35" s="26">
        <v>38.539000000000001</v>
      </c>
      <c r="F35" s="26">
        <v>65.579099999999997</v>
      </c>
      <c r="G35" s="26" t="s">
        <v>176</v>
      </c>
      <c r="H35" s="26">
        <v>2024</v>
      </c>
      <c r="I35" s="26" t="s">
        <v>148</v>
      </c>
      <c r="J35" s="26" t="s">
        <v>179</v>
      </c>
      <c r="K35" s="26" t="s">
        <v>150</v>
      </c>
    </row>
  </sheetData>
  <hyperlinks>
    <hyperlink ref="K2" r:id="rId1" xr:uid="{04D1D1E9-6283-44B1-B5D3-B7E7C01155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TPPs and CHPPs</vt:lpstr>
      <vt:lpstr>Efficiencies</vt:lpstr>
      <vt:lpstr>Hydropower plants</vt:lpstr>
      <vt:lpstr>Wind Turbine</vt:lpstr>
      <vt:lpstr>Power Plant</vt:lpstr>
      <vt:lpstr>'Hydropower plants'!_FilterDatabase</vt:lpstr>
      <vt:lpstr>'TPPs and CHPPs'!_FilterDatabase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Dovud Asadov</cp:lastModifiedBy>
  <dcterms:created xsi:type="dcterms:W3CDTF">2025-02-10T08:20:53Z</dcterms:created>
  <dcterms:modified xsi:type="dcterms:W3CDTF">2025-02-12T09:30:55Z</dcterms:modified>
</cp:coreProperties>
</file>